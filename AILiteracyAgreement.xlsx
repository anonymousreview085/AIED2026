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808"/>
  <workbookPr defaultThemeVersion="166925"/>
  <mc:AlternateContent xmlns:mc="http://schemas.openxmlformats.org/markup-compatibility/2006">
    <mc:Choice Requires="x15">
      <x15ac:absPath xmlns:x15ac="http://schemas.microsoft.com/office/spreadsheetml/2010/11/ac" url="/Users/dwijaya/Downloads/"/>
    </mc:Choice>
  </mc:AlternateContent>
  <xr:revisionPtr revIDLastSave="0" documentId="13_ncr:40009_{AC7654D5-1392-0B49-B86E-4FC2B4113DB7}" xr6:coauthVersionLast="47" xr6:coauthVersionMax="47" xr10:uidLastSave="{00000000-0000-0000-0000-000000000000}"/>
  <bookViews>
    <workbookView xWindow="380" yWindow="500" windowWidth="26800" windowHeight="15400"/>
  </bookViews>
  <sheets>
    <sheet name="Q1" sheetId="1" r:id="rId1"/>
  </sheets>
  <calcPr calcId="0"/>
</workbook>
</file>

<file path=xl/calcChain.xml><?xml version="1.0" encoding="utf-8"?>
<calcChain xmlns="http://schemas.openxmlformats.org/spreadsheetml/2006/main">
  <c r="D15" i="1" l="1"/>
  <c r="AZ15" i="1"/>
  <c r="AV15" i="1"/>
  <c r="AR15" i="1"/>
  <c r="AN15" i="1"/>
  <c r="AF15" i="1"/>
  <c r="AB15" i="1"/>
  <c r="X15" i="1"/>
  <c r="T15" i="1"/>
  <c r="P15" i="1"/>
  <c r="L15" i="1"/>
  <c r="H15" i="1"/>
  <c r="BD14" i="1"/>
  <c r="BD13" i="1"/>
  <c r="BD12" i="1"/>
  <c r="BD11" i="1"/>
  <c r="BD10" i="1"/>
  <c r="BD9" i="1"/>
  <c r="BD8" i="1"/>
  <c r="BD7" i="1"/>
  <c r="BD15" i="1" s="1"/>
  <c r="BD6" i="1"/>
  <c r="BD5" i="1"/>
  <c r="BD4" i="1"/>
  <c r="BD3" i="1"/>
  <c r="BD2" i="1"/>
  <c r="AZ14" i="1"/>
  <c r="AZ13" i="1"/>
  <c r="AZ12" i="1"/>
  <c r="AZ11" i="1"/>
  <c r="AZ10" i="1"/>
  <c r="AZ9" i="1"/>
  <c r="AZ8" i="1"/>
  <c r="AZ7" i="1"/>
  <c r="AZ6" i="1"/>
  <c r="AZ5" i="1"/>
  <c r="AZ4" i="1"/>
  <c r="AZ3" i="1"/>
  <c r="AZ2" i="1"/>
  <c r="AV14" i="1"/>
  <c r="AV13" i="1"/>
  <c r="AV12" i="1"/>
  <c r="AV11" i="1"/>
  <c r="AV10" i="1"/>
  <c r="AV9" i="1"/>
  <c r="AV8" i="1"/>
  <c r="AV7" i="1"/>
  <c r="AV6" i="1"/>
  <c r="AV5" i="1"/>
  <c r="AV4" i="1"/>
  <c r="AV3" i="1"/>
  <c r="AV2" i="1"/>
  <c r="AR14" i="1"/>
  <c r="AR13" i="1"/>
  <c r="AR12" i="1"/>
  <c r="AR11" i="1"/>
  <c r="AR10" i="1"/>
  <c r="AR9" i="1"/>
  <c r="AR8" i="1"/>
  <c r="AR7" i="1"/>
  <c r="AR6" i="1"/>
  <c r="AR5" i="1"/>
  <c r="AR4" i="1"/>
  <c r="AR3" i="1"/>
  <c r="AR2" i="1"/>
  <c r="AN14" i="1"/>
  <c r="AN13" i="1"/>
  <c r="AN12" i="1"/>
  <c r="AN11" i="1"/>
  <c r="AN10" i="1"/>
  <c r="AN9" i="1"/>
  <c r="AN8" i="1"/>
  <c r="AN7" i="1"/>
  <c r="AN6" i="1"/>
  <c r="AN5" i="1"/>
  <c r="AN4" i="1"/>
  <c r="AN3" i="1"/>
  <c r="AN2" i="1"/>
  <c r="AJ14" i="1"/>
  <c r="AJ13" i="1"/>
  <c r="AJ12" i="1"/>
  <c r="AJ11" i="1"/>
  <c r="AJ10" i="1"/>
  <c r="AJ9" i="1"/>
  <c r="AJ15" i="1" s="1"/>
  <c r="AJ8" i="1"/>
  <c r="AJ7" i="1"/>
  <c r="AJ6" i="1"/>
  <c r="AJ5" i="1"/>
  <c r="AJ4" i="1"/>
  <c r="AJ3" i="1"/>
  <c r="AJ2" i="1"/>
  <c r="AF14" i="1"/>
  <c r="AF13" i="1"/>
  <c r="AF12" i="1"/>
  <c r="AF11" i="1"/>
  <c r="AF10" i="1"/>
  <c r="AF9" i="1"/>
  <c r="AF8" i="1"/>
  <c r="AF7" i="1"/>
  <c r="AF6" i="1"/>
  <c r="AF5" i="1"/>
  <c r="AF4" i="1"/>
  <c r="AF3" i="1"/>
  <c r="AF2" i="1"/>
  <c r="AB14" i="1"/>
  <c r="AB13" i="1"/>
  <c r="AB12" i="1"/>
  <c r="AB11" i="1"/>
  <c r="AB10" i="1"/>
  <c r="AB9" i="1"/>
  <c r="AB8" i="1"/>
  <c r="AB7" i="1"/>
  <c r="AB6" i="1"/>
  <c r="AB5" i="1"/>
  <c r="AB4" i="1"/>
  <c r="AB3" i="1"/>
  <c r="AB2" i="1"/>
  <c r="X14" i="1"/>
  <c r="X13" i="1"/>
  <c r="X12" i="1"/>
  <c r="X11" i="1"/>
  <c r="X10" i="1"/>
  <c r="X9" i="1"/>
  <c r="X8" i="1"/>
  <c r="X7" i="1"/>
  <c r="X6" i="1"/>
  <c r="X5" i="1"/>
  <c r="X4" i="1"/>
  <c r="X3" i="1"/>
  <c r="X2" i="1"/>
  <c r="T14" i="1"/>
  <c r="T13" i="1"/>
  <c r="T12" i="1"/>
  <c r="T11" i="1"/>
  <c r="T10" i="1"/>
  <c r="T9" i="1"/>
  <c r="T8" i="1"/>
  <c r="T7" i="1"/>
  <c r="T6" i="1"/>
  <c r="T5" i="1"/>
  <c r="T4" i="1"/>
  <c r="T3" i="1"/>
  <c r="T2" i="1"/>
  <c r="P14" i="1"/>
  <c r="P13" i="1"/>
  <c r="P12" i="1"/>
  <c r="P11" i="1"/>
  <c r="P10" i="1"/>
  <c r="P9" i="1"/>
  <c r="P8" i="1"/>
  <c r="P7" i="1"/>
  <c r="P6" i="1"/>
  <c r="P5" i="1"/>
  <c r="P4" i="1"/>
  <c r="P3" i="1"/>
  <c r="P2" i="1"/>
  <c r="L14" i="1"/>
  <c r="L13" i="1"/>
  <c r="L12" i="1"/>
  <c r="L11" i="1"/>
  <c r="L10" i="1"/>
  <c r="L9" i="1"/>
  <c r="L8" i="1"/>
  <c r="L7" i="1"/>
  <c r="L6" i="1"/>
  <c r="L5" i="1"/>
  <c r="L4" i="1"/>
  <c r="L3" i="1"/>
  <c r="L2" i="1"/>
  <c r="H14" i="1"/>
  <c r="H13" i="1"/>
  <c r="H12" i="1"/>
  <c r="H11" i="1"/>
  <c r="H10" i="1"/>
  <c r="H9" i="1"/>
  <c r="H8" i="1"/>
  <c r="H7" i="1"/>
  <c r="H6" i="1"/>
  <c r="H5" i="1"/>
  <c r="H4" i="1"/>
  <c r="H3" i="1"/>
  <c r="H2" i="1"/>
  <c r="D12" i="1"/>
  <c r="D13" i="1"/>
  <c r="D14" i="1"/>
  <c r="D3" i="1"/>
  <c r="D4" i="1"/>
  <c r="D5" i="1"/>
  <c r="D6" i="1"/>
  <c r="D7" i="1"/>
  <c r="D8" i="1"/>
  <c r="D9" i="1"/>
  <c r="D10" i="1"/>
  <c r="D11" i="1"/>
  <c r="D2" i="1"/>
</calcChain>
</file>

<file path=xl/sharedStrings.xml><?xml version="1.0" encoding="utf-8"?>
<sst xmlns="http://schemas.openxmlformats.org/spreadsheetml/2006/main" count="604" uniqueCount="205">
  <si>
    <t>Q1</t>
  </si>
  <si>
    <t>agreement</t>
  </si>
  <si>
    <t>Q2</t>
  </si>
  <si>
    <t>Q3</t>
  </si>
  <si>
    <t>Q4</t>
  </si>
  <si>
    <t>Q5</t>
  </si>
  <si>
    <t>Q6</t>
  </si>
  <si>
    <t>Q7</t>
  </si>
  <si>
    <t>Q8</t>
  </si>
  <si>
    <t>mencari informasi dari mesin yang sesuai pemahaman manusia</t>
  </si>
  <si>
    <t>T2</t>
  </si>
  <si>
    <t>setelah saya menerima jawaban dari instruksi yang saya minta dengan chatgpt saya memilih kalimat yang sesuai dengan apa yang saya inginkan yang sesuai dengan pembelajaran saya</t>
  </si>
  <si>
    <t>T1</t>
  </si>
  <si>
    <t>Alasannya : 1. Memudahkan sesorang untuk mencari informasi yang dibutuhkan. 2. Membantu dalam menyelesaikan tugas-tugas tertentu. 3. Membantu dalam mengoptimalkan waktu. 4. Membantu menjaga Keamanan data diri dan kesehatan (misalnya akses fitur pengenalan wajah pada hp, aplikasi pelacak kebugaran)</t>
  </si>
  <si>
    <t>Teknologi AI sudah digunakan dalam berbagai bidang diantaranya bidang Bidang Pendidikan (LMS yang menyediakan rekomendasi materi belajar), Perdagangan (Asisten Virtual/Chatbot,Platform e-commerce), Kesehatan (penggunaan X-ray atau MRI dalam mendeteksi penyakit lebih awal), Transportasi dan Otomotif ( Mobil otonom), Keuangan (penggunaan sistem pendeteksi penipun secara real-time), dsb.</t>
  </si>
  <si>
    <t>T4</t>
  </si>
  <si>
    <t>Membuat perangkat ajar, materi ajar serta media pembelajaran</t>
  </si>
  <si>
    <t>Menurut saya, para siswa menggunakan atau memanfaatkan AI dalam berbagai aspek kegiatan belajar untuk membantu mereka belajar lebih efektif, cepat, dan praktis. Salah satu yang paling umum adalah menggunakan AI untuk mencari informasi atau menjawab pertanyaan, misalnya melalui ChatGPT atau asisten virtual seperti Google Assistant. Siswa juga memanfaatkan AI untuk membuat ringkasan materi, memahami konsep sulit, atau menerjemahkan teks dalam bahasa asing dengan lebih mudah. Selain itu, AI digunakan untuk membuat tugas atau latihan, seperti membuat esai, menjawab soal, atau mengoreksi tata bahasa dan ejaan secara otomatis.</t>
  </si>
  <si>
    <t>bisa menjadi salah satu cara untuk memajukan pembelajaran d era sekarang</t>
  </si>
  <si>
    <t>tidak mengandalkan AI</t>
  </si>
  <si>
    <t>sebuah sistem yang terintegrasi dan terprogram yang dapat digunakan untuk memudahkan seseorang mencari apa yang diinginkan tidak hanya mesin pencari tapi sudah terprogram secara jelas</t>
  </si>
  <si>
    <t>Hal Posotif dan negatif bisa dikeluarkan tergantung filter atau tulisan yg kita cari, minimal positifnya pencarian yang susah dapat dijabarkan</t>
  </si>
  <si>
    <t>T3</t>
  </si>
  <si>
    <t>Karena keperluan yang mendesak dan butuh waktu cepat dalam mendapatkan informasi</t>
  </si>
  <si>
    <t>Jurnal, teman berdiskusi, memudahkan dalam pekerjaan, editing</t>
  </si>
  <si>
    <t>Untuk mencari informasi yang jarang di temukan</t>
  </si>
  <si>
    <t>Sejauh ini yang saya ketahui mereka hanya menggunakan sebagai jawaban langsung pada tiap soal dan pr</t>
  </si>
  <si>
    <t>Masih banyak jawaban yang diberikan oleh AI tidak sesuai dengan yang diminta.</t>
  </si>
  <si>
    <t>Saya tidak mendukung penggunaan dan pemanfaaatan AI oelg guru dalam kegiatan belajar mengajar jika guru bergantung penuh pada AI tanpa melakukan validasi pada keakuratan data yang dihasilkan AI</t>
  </si>
  <si>
    <t>Artificial intelligence adalah kecerdasan buatan yang dikembangkan developer untuk membantu kehidupan manusia dalam berbagai sisi. Contoh nya dalam Dunia pendidikan,desain,kesehatan Dan entertainment.</t>
  </si>
  <si>
    <t>Chat gpt menjawab sesuai promt y kita buat. Semakin rinci promt y kita buat maka jawaban akan semakin akurat</t>
  </si>
  <si>
    <t>Sangat membantu dan mempermudah pekerjaan</t>
  </si>
  <si>
    <t>Segala hal</t>
  </si>
  <si>
    <t>menyusun soal
- membuat RPP
- menyusun media pembelajaran
- mencari ide aktivitas pembelajaran
- membuat rubrik
- membuat LKPD</t>
  </si>
  <si>
    <t>Membuat poster</t>
  </si>
  <si>
    <t>Sangat menbantu untuk mencari materi</t>
  </si>
  <si>
    <t>Tidak ada media</t>
  </si>
  <si>
    <t>T6</t>
  </si>
  <si>
    <t>AI menggunakan data, semakin lengkap semakin detail hasil yang di tampilkannya</t>
  </si>
  <si>
    <t>Chat GPT mengenali kata dalam instruksi, memahami makna dan tujuan instruksi, mencari pola jawaban dari data yang dimilikinya, menyusun respon dan mengirim jawaban pada pengguna</t>
  </si>
  <si>
    <t>Alasan yang paling banyak dikemukakan adalah mempermudah dan mempercepat tugas0tugas yang ada</t>
  </si>
  <si>
    <t>untuk mengajar di bidang pendidikan, rekomendasi teman/musik di sosmed, rekomendasi belanja di bid ekonomi</t>
  </si>
  <si>
    <t>1. membantu membuat perangkat ajar seperti modul ajar
2. menyusun materi ajar dengan bahasa yang menarik dan mudah difahami
3. membuat lembar kerja siswa dengan materi yang erat kaitannya dengan kehidupan nyata
4. membuat soal latihan dari level dasar hingga HOTS
5. menyusun rancangan diskusi dengan konsep berpikir kritis
6. menjadi teman belajar untuk review materi 
7. membantu review jurnal-jurnal penelitian untuk dijadikan bahan ajar
dll</t>
  </si>
  <si>
    <t>Para siswa menggunakan kecerdasan AI di kegiatan belajar untuk personalisasi pembelajaran, mendapatkan bantuan instan dan meningkatkan efisiensi tugas.</t>
  </si>
  <si>
    <t>membantu dalam proses pembelajaran</t>
  </si>
  <si>
    <t>Tidak</t>
  </si>
  <si>
    <t>AI adalah teknologi yang membantu manusia untuk mengerjakan tugas</t>
  </si>
  <si>
    <t>ChatGPT loading terlebih dahulu itu tandanya sedang proses mencari informasi/jawaban</t>
  </si>
  <si>
    <t>membuat tugas , laporan, teks, gambar, membantu kreativitas dan menambah ide dan gagasan</t>
  </si>
  <si>
    <t>untuk belajar dan mengajar kan bahasa asing di indonesia , menyusun kata kata kreatif untuk pembelajaran dengan cepat dan untuk hiburan</t>
  </si>
  <si>
    <t>1. Dalam hal membuat perangkat pembelajaran
2. Dalam membuat latihan soal/pertanyaan</t>
  </si>
  <si>
    <t>Mengerjakan Pekerjaan Rumah</t>
  </si>
  <si>
    <t>Sebagai guru tentunya haruslah adaptif, keterbatasan pemikiran dan kemampuan dalam menerjemahkan sesuatu terkadang memiliki keterbatasan, sehingga menurut saya penggunaan dan pemanfatan Ai ini sangat berguna untuk mempermudah pelaksanaan pembelajaran.</t>
  </si>
  <si>
    <t>Tidak di perlukan dalam membantu proses pembelajaran</t>
  </si>
  <si>
    <t>IA adalah mesin learning yang data basenya di input oleh manusia, AI belajar dari data-data yang diberikan dan membuat pola tertentu dan mengembangkannya untuk mempelajari hal baru dari pola tersebut. AI bisa salah atau bias berdasarkan data/input yang salah yang diberikan oleh pemberi data (manusia)</t>
  </si>
  <si>
    <t>pemrosesan bahasa menggunakan algoritma bahasa alami</t>
  </si>
  <si>
    <t>Sangat membantu untuk mengerjakan tugas-tugas ringan, misalnya saya sebagai seorang guru, dapat membantu dalam membuat RPP, membuat soal, sebuah teks, dsb.</t>
  </si>
  <si>
    <t>Pendidikan, kesehatan, media, dll</t>
  </si>
  <si>
    <t>Mendapatkan ide untuk: aktivitas pembelajaran, ice breaking, penyusunan RPP, penulisan soal, rubrik, dsb.</t>
  </si>
  <si>
    <t>Siswa bisa menggunakan canva AI untuk mendesign poster</t>
  </si>
  <si>
    <t>Mempermudah dalam bekerja</t>
  </si>
  <si>
    <t>digunakan untuk hal yg tidak baik, atau hal yang dapat memperburuk kegiatan belajar mengajar</t>
  </si>
  <si>
    <t>T5</t>
  </si>
  <si>
    <t>Kecerdasan buatan yang dapat membantu dan mempermudah pekerjaan manusia</t>
  </si>
  <si>
    <t>mencari jawaban yang di pertanyakan</t>
  </si>
  <si>
    <t>menegerjakan tugas, menambah wawasan</t>
  </si>
  <si>
    <t>Teknologi AI telah digunakan dalam berbagai aspek kehidupan, baik di ranah pribadi maupun profesional. Dalam kehidupan sehari-hari, AI hadir melalui asisten virtual seperti Siri, Google Assistant, dan Alexa yang membantu pengguna mencari informasi, mengatur jadwal, atau mengontrol perangkat rumah pintar. Di dunia hiburan dan belanja online, AI digunakan untuk memberikan rekomendasi film, musik, atau produk berdasarkan kebiasaan pengguna. Dalam bidang keamanan, AI digunakan untuk pengenalan wajah dan suara, yang sering dimanfaatkan dalam sistem autentikasi dan pengawasan. Di sektor transportasi, AI memungkinkan pengembangan kendaraan otonom yang mampu mengemudi sendiri dengan mengenali lingkungan sekitar.</t>
  </si>
  <si>
    <t>untuk mencari referensi tentang cara pengajaran dan media pengajaran</t>
  </si>
  <si>
    <t>Mengerjakan tugas dan latihan online</t>
  </si>
  <si>
    <t>karena AI sangat banyak manfaat nya untuk kami para guru apalagi untuk guru yang sudah lanjut usia</t>
  </si>
  <si>
    <t>No komen</t>
  </si>
  <si>
    <t>Kecerdasan buatan yang dapat memudahkan kita dalam melaksanakan tugas dan menjawab hal hal yang membingungkan</t>
  </si>
  <si>
    <t>Pertama, sistem akan menganalisis kata-kata yang Anda gunakan untuk memahami maksud, konteks, dan tujuan dari pertanyaan atau perintah tersebut. Kemudian, berdasarkan pelatihan dari miliaran contoh teks dan informasi yang telah dipelajari sebelumnya, ChatGPT akan memprediksi rangkaian kata atau kalimat yang paling sesuai untuk menjawab atau menanggapi input Anda</t>
  </si>
  <si>
    <t>Orang menggunakan AI dalam keseharian pribadi dan pekerjaannya karena berbagai alasan yang berkaitan dengan efisiensi, kenyamanan, dan produktivitas. Dalam kehidupan pribadi, AI membantu mempermudah aktivitas sehari-hari seperti menggunakan asisten virtual (misalnya Siri atau Google Assistant), mendapatkan rekomendasi hiburan (seperti film atau musik), menerjemahkan bahasa, atau mengatur jadwal dan pengingat. AI juga digunakan dalam perangkat rumah pintar, seperti lampu otomatis atau sistem keamanan, yang meningkatkan kenyamanan dan keamanan di rumah.</t>
  </si>
  <si>
    <t>untuk e comerce, bisnis dan lain sebagaint</t>
  </si>
  <si>
    <t>Mencari informasi tentang pembelajaran yang belum paham/mengerti
Mencari pembelajaran yang menarik untuk di pelajari ke anak-anak</t>
  </si>
  <si>
    <t>Teknologi ini memungkinkan pengembangan metode pengajaran yang lebih kreatif dan interaktif. Dengan demikian, proses belajar menjadi lebih menarik dan menyenangkan bagi murid</t>
  </si>
  <si>
    <t>O0</t>
  </si>
  <si>
    <t>dapat membuat guru menjadi lebih terstimulus untuk mengembangkan pembelajaran yang bervariasi dan berpusat pada siswa juga mengoptimalkan sumber untuk membuat media pembelajaran.</t>
  </si>
  <si>
    <t>Jika AI digunakan untuk sepenuhnya menggantikan interaksi manusia antara guru dan siswa, sehingga mengurangi aspek penting dari pendidikan seperti pengembangan keterampilan sosial dan emosional</t>
  </si>
  <si>
    <t>cabang dari ilmu komputer yang berfokus pada pengembangan sistem atau mesin yang mampu melakukan tugas-tugas yang biasanya memerlukan kecerdasan manusia.</t>
  </si>
  <si>
    <t>membantuy membuat soal soal dan text dengan ceoat sesuai dengan kebutuhan saya dalam berinteraksi di kelas  disesuaikan dengan situasi dan kondisi terupdate sehingga pembelajaran lebih menarik dan interaktif</t>
  </si>
  <si>
    <t>1. Mempermudah pekerjaan mereka, praktis dan tidak merepotkan.
2. Segi keamanan cukup terjamin (M Banking)
3. Lebih memberikan kenyamanan
4. Mudah dipahami (user friendly)
5. Mengcover hal-hal yang tidak tercover oleh pengetahuan kita
6. Termasuk yang berbiaya terjangkau (tidak membutuhkan biaya tinggi dalam pemanfaatannya).</t>
  </si>
  <si>
    <t>smart phone, aplikasi pendidikan seperti canva, chat gpt, translate</t>
  </si>
  <si>
    <t>Pembuatan soal,penilaian otomatis,pengelolaan kelas</t>
  </si>
  <si>
    <t>mengisi kuis materi pembelajaran, bermain games, mencari informasi materi pelajaran, kegiatan belajar secara daring,</t>
  </si>
  <si>
    <t>Akan memudahkan membantu tugas-tugas administratif seperti penilaian dan penyusunan RPP, menyederhanakan proses pembelajaran melalui analisis data siswa untuk personalisasi, menciptakan konten dan aktivitas pembelajaran yang lebih menarik.</t>
  </si>
  <si>
    <t>Hanya memindahkan/copy paste tanpa dibaca terlebih dahulu</t>
  </si>
  <si>
    <t>teknologi kecerdasan buatan yang ditujukan untukk membantu pekerjaan profesional sehingga menjadi lebih optimal , kreeatif , dan unik</t>
  </si>
  <si>
    <t>Mengirimkan jawaban tersebut kembali kepada pengguna melalui antarmuka percakapan.</t>
  </si>
  <si>
    <t>Untuk pengembangan Hasil kerja Dan mengoptimalkan waktu yang ada agar dapat selesai lebih cepat.</t>
  </si>
  <si>
    <t>Untuk membuat ruang diskusi seperti chat gpt Dan meta Ai. Mendesain karya seni berupa foto,desain grafis.</t>
  </si>
  <si>
    <t>Mencari perangkat pembelajaran, sunber pembelajaran</t>
  </si>
  <si>
    <t>Media pembelajaran</t>
  </si>
  <si>
    <t>Memudahkan kegiatan belajar mengajar</t>
  </si>
  <si>
    <t>Digunakan secara terus menerus karena siswa bisa mengurangi efektifitas siswa dan mengurangi minat belajar siswa, seperti membaca buku, dan mengurangi minat dalam belajar dari penjelasan yang di berikan guru.</t>
  </si>
  <si>
    <t>Q9</t>
  </si>
  <si>
    <t>untuk tugas belajarnya</t>
  </si>
  <si>
    <t>Jika tidak ada pendampingan yang baik takutnya di salah gunakan.</t>
  </si>
  <si>
    <t>Membuat suasana tidak monoton</t>
  </si>
  <si>
    <t>Menambah pengetahuan baru yg mungkin saja tidak didapatkan dalam proses pembelajaran</t>
  </si>
  <si>
    <t>Membantu pembelajaran</t>
  </si>
  <si>
    <t>Saya mendukung pemanfaatan AI oleh para siswa dalam kegiatan belajar mengajar karena AI dapat menjadi alat bantu yang memperkaya proses pembelajaran, meningkatkan kreativitas, dan mendorong siswa berpikir kritis</t>
  </si>
  <si>
    <t>Karena mempermudah siswa</t>
  </si>
  <si>
    <t>1 akses ke informasi lebih luas
2 menyesuaikan materi pembelajaran
3. Memberi umpan balik yang instan</t>
  </si>
  <si>
    <t>Sangat membantu</t>
  </si>
  <si>
    <t>membantu proses pembelajaran,</t>
  </si>
  <si>
    <t>Q10</t>
  </si>
  <si>
    <t>JIka AI digunakan untuk menyelesaikan soal yang seharusnya mereka kerjakan sendiri</t>
  </si>
  <si>
    <t>Jika ai di jadikan alat contekan</t>
  </si>
  <si>
    <t>mencari jawaban insatn</t>
  </si>
  <si>
    <t>Siswa langsung menanyakan jawaban dari AI tanpa dikasih waktu berpikir terlebih dahulu</t>
  </si>
  <si>
    <t>siswa melakukan plagiat atas hasil karyanya</t>
  </si>
  <si>
    <t>Di salahgunakan atau bukan berhubungan dengan pelajaran di sekolah</t>
  </si>
  <si>
    <t>Di salahgunakan</t>
  </si>
  <si>
    <t>saya tidak mendukung pemanfaatan AI dalam kegiatan belajar jika AI memberikan jawaban yang salah</t>
  </si>
  <si>
    <t>Sangat ketergantungan</t>
  </si>
  <si>
    <t>Q11</t>
  </si>
  <si>
    <t>menambah wawasan tentang belajar mengajar</t>
  </si>
  <si>
    <t>Sangat menunjang, serta memudahkan dalam penelurusan beberapa komponen penting materi yang kita butuhkan</t>
  </si>
  <si>
    <t>Dapat berkembang untuk pembelajaran</t>
  </si>
  <si>
    <t>pembelajaran mudah</t>
  </si>
  <si>
    <t>Dampak positif lebih mudah dan praktis dalam mencari cara memecahkan masalah</t>
  </si>
  <si>
    <t>Membantu mempermudah proses pembelajaran seperti mencari referensi dalam pembuatan metode dan juga pembuatan LKPD</t>
  </si>
  <si>
    <t>Integrasi Kecerdasan Buatan (AI) dalam kegiatan belajar mengajar (KBM) menawarkan berbagai dampak positif yang signifikan bagi para guru, terutama dalam hal efisiensi, personalisasi, dan inovasi.
Berikut adalah beberapa manfaat utamanya:
1. Peningkatan Efisiensi Administrasi dan Pekerjaan Rutin
AI dapat mengotomatisasi banyak tugas administratif yang memakan waktu guru, memungkinkan mereka untuk fokus pada interaksi dengan siswa:
Penilaian Otomatis: AI dapat memeriksa dan menilai tugas, kuis, atau ujian berbasis pilihan ganda atau esai singkat secara cepat dan akurat, mengurangi beban koreksi.
Pengorganisasian Data: AI membantu menganalisis dan mengorganisir data kemajuan siswa, membuat laporan, dan melacak kinerja secara efisien.
Pembuatan Materi: Alat AI generatif dapat membantu guru menyusun draf rencana pelajaran, presentasi, soal latihan, atau ringkasan materi dalam waktu singkat.
2. Personalisasi Pembelajaran (Individualisasi)
AI memungkinkan guru untuk memberikan pengalaman belajar yang lebih personal dan disesuaikan dengan kebutuhan setiap siswa:
Analisis Kinerja: AI menganalisis data belajar siswa (kelemahan, kekuatan, gaya belajar, dan kecepatan) secara real-time.
Kurikulum Adaptif: Berdasarkan analisis tersebut, AI dapat menyarankan atau menyesuaikan materi, soal, dan alur pembelajaran agar lebih relevan dan efektif bagi siswa secara individu.
Umpan Balik Instan: Sistem AI dapat memberikan umpan balik ( feedback) otomatis kepada siswa mengenai pekerjaan mereka, membebaskan guru untuk memberikan perhatian mendalam pada masalah yang lebih kompleks.</t>
  </si>
  <si>
    <t>Membantu guru dalam memahami gaya belajar siswa dan mengidentifikasi kelemahan serta kekuatan siswa melalui analisis data. 
Memungkinkan guru untuk merancang dan menyediakan sistem pembelajaran yang dipersonalisasi dan adaptif sesuai tingkat pemahaman peserta didik, sehingga dapat meningkatkan motivasi belajar siswa.</t>
  </si>
  <si>
    <t>Melek teknologi</t>
  </si>
  <si>
    <t>Meningkatnya motivasi belajar siswa</t>
  </si>
  <si>
    <t>Q12</t>
  </si>
  <si>
    <t>potensi akan hilangnya pekerjaan bagi para guru. Dengan menggunakan sistem AI, tugas para guru seperti membuat penilaian dan perencanaan pelajaran dapat diotomatisasi</t>
  </si>
  <si>
    <t>guru menjadi bermalas malasan</t>
  </si>
  <si>
    <t>Ketergantungan pada AI itu sendiri
Dan kurangnya interaksi sesama guru</t>
  </si>
  <si>
    <t>kurang kreatif</t>
  </si>
  <si>
    <t>Dampak negatif yang bisa dialami para guru dari penggunaan dan pemanfaatan AI dalam kegiatan belajar mengajar antara lain: berkurangnya kreativitas dan orisinalitas guru jika terlalu bergantung pada AI, risiko menurunnya pemahaman konsep karena hanya mengandalkan hasil dari AI, potensi kesalahan informasi (hallucination) yang bisa menyesatkan, serta munculnya tantangan etika dan integritas dalam proses pembelajaran. Selain itu, guru juga perlu beradaptasi dengan teknologi baru yang bisa menimbulkan kesulitan bagi yang belum terbiasa.</t>
  </si>
  <si>
    <t>Jika AI digunakan secara berlebihan, ada kemungkinan bahwa beberapa tugas guru dapat digantikan oleh teknologi.</t>
  </si>
  <si>
    <t>Terlalu percaya dengan jawaban yang masih dipertanyakan</t>
  </si>
  <si>
    <t>Penyalahgunaan yang menjurus kepada aksi penipuan dan lain sebagainya</t>
  </si>
  <si>
    <t>Mengurangi minat belajar.</t>
  </si>
  <si>
    <t>Q13</t>
  </si>
  <si>
    <t>memberikan wawasan berdasarkan data, dan menghadirkan alat yang berharga untuk meningkatkan pembelajaran.</t>
  </si>
  <si>
    <t>siswa mengenal teknologi dengan benar</t>
  </si>
  <si>
    <t>Mempermudah mengerjakan tugas dan siswa bisa mempelajari bentuk teknologi</t>
  </si>
  <si>
    <t>Siswa lebih banyak dapat referensi dalam belajar</t>
  </si>
  <si>
    <t>Dapat memperoleh ilmu</t>
  </si>
  <si>
    <t>Menambah sumber belajar dan membantu tugas sekolah dengan cepat.</t>
  </si>
  <si>
    <t>menjadi terlihat lebih kreatif, dan waktu pengerjaan lebih cepat</t>
  </si>
  <si>
    <t>Tidak ada dampak positif</t>
  </si>
  <si>
    <t>Menurut saya, dampak positif yang bisa diperoleh para siswa dari penggunaan dan pemanfaatan AI dalam kegiatan belajar sangatlah signifikan. Pertama, AI memungkinkan siswa untuk mendapatkan pembelajaran yang lebih personal dan sesuai dengan kebutuhan mereka, karena teknologi ini bisa menyesuaikan materi dan metode belajar berdasarkan kemampuan dan gaya belajar masing-masing siswa. Kedua, AI membantu siswa belajar dengan lebih interaktif dan menarik, misalnya melalui aplikasi atau platform belajar yang menggunakan gamifikasi, simulasi, dan visualisasi yang memudahkan pemahaman konsep sulit. Ketiga, AI memberikan kemudahan bagi siswa untuk mengakses sumber belajar kapan saja dan di mana saja, sehingga belajar menjadi lebih fleksibel dan tidak terbatas ruang dan waktu</t>
  </si>
  <si>
    <t>Anak menjadi aktif belajar</t>
  </si>
  <si>
    <t>Q14</t>
  </si>
  <si>
    <t>Salah satu keprihatinan utama terkait dampak negatif AI di bidang pendidikan adalah potensi akan hilangnya pekerjaan bagi para guru. Dengan menggunakan sistem AI, tugas para guru seperti membuat penilaian dan perencanaan pelajaran dapat diotomatisasi</t>
  </si>
  <si>
    <t>Tidak semua yg diberikan AI akurat, AI tidak berperasaan, dan tidak bisa mengalahkan kreativitas manusia asli</t>
  </si>
  <si>
    <t>apabila mendapatkan hasil dari AI tersebut dan siswa tidak bisa mencerna atau tidak berdiskusi dengan guru bisa berakibat perubahan terhadap pola pikir dan kebiasaan siswa</t>
  </si>
  <si>
    <t>malas berfikir</t>
  </si>
  <si>
    <t>Jika dikenalkan tanpa pondasi maka anak akan terbiasa instan tanpa berfikir konsep.</t>
  </si>
  <si>
    <t>Penurunan kemampuan berpikir kritis dan kreativitas dan ketergantungan pada AI bekerja secara individual dan privasi akan mudah tersebar</t>
  </si>
  <si>
    <t>Siswa mengandalkan ai untuk ujian</t>
  </si>
  <si>
    <t>kelas menjadi kurang aktif dan ribut untuk mengakses informasi dari internet sehingga terjadi oversharing dan menjadikan kelas kontra produktif</t>
  </si>
  <si>
    <t>Dampak negatif mengurangi minat belajar, terumata dalam membaca buku</t>
  </si>
  <si>
    <t>gpt-label</t>
  </si>
  <si>
    <t>Kecerdasan Buatan dari aplikasi yang dibuat oleh para ahli komputer</t>
  </si>
  <si>
    <t>Kecerdasan manusia yang dapat dicontohkan oleh mesin</t>
  </si>
  <si>
    <t>Ai itu aplikasi untuk mencari informasi dan pembuatan media</t>
  </si>
  <si>
    <t>Mencari jawaban yang kita ketik</t>
  </si>
  <si>
    <t>Mengolah instruksi yang diberikan dan memberikan jawaban sesuai dengan data yang dimilikinya</t>
  </si>
  <si>
    <t>Yang di lakukan ChatGPT setelah menerima instruksi yg saya ketik adalah mrngeluarkan jawaban atau hasil yang kita perintahkan</t>
  </si>
  <si>
    <t>Untuk mempermudah pekerjaan. Memperoleh informasi dan yang lainnya</t>
  </si>
  <si>
    <t>Agar lebih cepat dan efisien waktu</t>
  </si>
  <si>
    <t>Untuk mempermudah pekerjaan sehari-hari atau bahkan dapat memecahkan dan mencari solusi suatu masalah.</t>
  </si>
  <si>
    <t>Digunakan dalam analisis data, keamanan dan peningkatan layanan publik.</t>
  </si>
  <si>
    <t>Mengerjakan tugas
Mencari Informasi
Membantu dalam mengedit konten</t>
  </si>
  <si>
    <t>Banyak sekali untuk membuat perangkat pembelajaran, media pembelajaran, mengedit foto atau gambar</t>
  </si>
  <si>
    <t>saya biasa memanfaatkan AI untuk membuat modul ajar, bahan ajar, dan pula mengatur materi dan tugas yang sesuai dengan kurikulum untuk peserta didik</t>
  </si>
  <si>
    <t>Dalam menyediakan jenis-jenis asesmen yang bervariasi, mencari media yang sesuai</t>
  </si>
  <si>
    <t>Dalam hal mencari referensi materi dan jawaban untuk rumus soal, guru juga memanfaatkan AI sebagai sumber informasi. Selain itu, AI digunakan untuk mencari inspirasi kegiatan pembelajaran yang sesuai dengan tujuan dan karakteristik peserta didik. Guru juga memanfaatkan AI untuk menyusun strategi pembelajaran yang lebih kreatif dan kontekstual.</t>
  </si>
  <si>
    <t>Mencari referensi sumber belajar</t>
  </si>
  <si>
    <t>Sebagai bahan ajar dalam proses pembelajaran</t>
  </si>
  <si>
    <t>Kerja tugas,belajar, pembelajaran bahasa (penerjemah)</t>
  </si>
  <si>
    <t>Membantu siswa untuk menemukan ide dalam mengerjakan tugas namun tetap memiliki critical thinking dan berfikir bijaksana untuk mengembangkan ide tersebut, bukan hanya copy paste</t>
  </si>
  <si>
    <t>di sekolah luar biasa, memanfaatkan AI dalam pembelajaran belum terasa bagi siswa disabilitas, namun berguna bagi guru untuk menyusun pembelajaran yang manarik.</t>
  </si>
  <si>
    <t>Karena kontekstual dan memudahkan dalam mengajar serta anak lebih tertarik dalam belajar</t>
  </si>
  <si>
    <t>Menggunakan AI untuk merancang LKPD tanpa menyesuaikan kembali dengan kondisi dan kebutuhan peserta didik di sekolahnya, mencari jawaban dari soal tetapi tidak menvalidasi kembali tepat atau tidak.</t>
  </si>
  <si>
    <t>Melanggar UU tentang pendidikan dan IT</t>
  </si>
  <si>
    <t>Saya tidak mendukung jika proses belajar mengajar secara full digantikan oleh AI</t>
  </si>
  <si>
    <t>AI membantu siswa mendapatkan penjelasan materi secara cepat dan mudah, kapan pun mereka membutuhkannya dan sumber belajar jadi lebih luas dan beragam, melampaui buku teks dan guru di kelas</t>
  </si>
  <si>
    <t>Memudahkan siswa dalam memcari jawaban yang real.</t>
  </si>
  <si>
    <t>membantu siswa dalam mendapatkan literasi tambahan</t>
  </si>
  <si>
    <t>digunakan untuk mencontek</t>
  </si>
  <si>
    <t>Siswa hanya copy paste dari AI tanpa mempharaprase dan tanpa menyertakan intuisi dalam menjawab tugas</t>
  </si>
  <si>
    <t>saya yakin jika digunakan dalam pembelajaran TIK di sekolah luar biasa</t>
  </si>
  <si>
    <t>Memudahkan menggunakan referensi dan sumber belajar yang banyak dan bersifat real time</t>
  </si>
  <si>
    <t>Dapat mengembangkan lagi ilmu-ilmunya</t>
  </si>
  <si>
    <t>Mengoptimalkan tugas,memudahkan kita dalam menyelasaikan tugas,menyesuaikan materi dengan kebutuhan siswa</t>
  </si>
  <si>
    <t>Terlalu manja, guru ketergantungan terhadap AI sehingga mempengaruhi cara belajar mereka</t>
  </si>
  <si>
    <t>Jd makin mlas mengerjakan manual</t>
  </si>
  <si>
    <t>Dampak negatif yang ditimbulkan adalah ketika guru menelan informasi yang diberikan tanpa mengolah dulu jawaban yang diberikan oleh AI tersebut</t>
  </si>
  <si>
    <t>Siswa mendapatkan data sumber belajar secara cepat dan kompleks dan bersifat real time</t>
  </si>
  <si>
    <t>Membantu menyelesaikan tugasnya di sekolah</t>
  </si>
  <si>
    <t>Memudahkan untuk belajar,lebih gampang menyelesaikan tugas,penyesuaian materi</t>
  </si>
  <si>
    <t>Ketergantungan pada AI</t>
  </si>
  <si>
    <t>Jd malas mengerjakan tugas secara manual</t>
  </si>
  <si>
    <t>Dampak negatifnya adalah ketika siswa terbiasa dengan kecerdasan buatan dan memgandalkan AI untuk menjawab segala tugas yang di berikan oleh guru</t>
  </si>
  <si>
    <t>Agreement rate</t>
  </si>
  <si>
    <t>human-label</t>
  </si>
  <si>
    <t xml:space="preserve">Note: 10% of data from each open-ended question responses are sampled, stratified according to the GPT5-mini labels, and annotated independently by a human annotator using the same rubric that GPT5-mini uses to assign its labels.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</si>
</sst>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xf numFmtId="0" fontId="0" fillId="0" borderId="10" xfId="0" applyBorder="1"/>
    <xf numFmtId="0" fontId="0" fillId="0" borderId="10" xfId="0" applyBorder="1" applyAlignment="1"/>
    <xf numFmtId="0" fontId="18" fillId="0" borderId="10" xfId="0" applyFont="1" applyBorder="1"/>
    <xf numFmtId="0" fontId="18" fillId="0" borderId="0"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17"/>
  <sheetViews>
    <sheetView tabSelected="1" workbookViewId="0"/>
  </sheetViews>
  <sheetFormatPr baseColWidth="10" defaultRowHeight="16" x14ac:dyDescent="0.2"/>
  <cols>
    <col min="2" max="2" width="10.83203125" customWidth="1"/>
    <col min="3" max="3" width="11.5" bestFit="1" customWidth="1"/>
    <col min="6" max="6" width="10.83203125" customWidth="1"/>
    <col min="7" max="7" width="11.5" bestFit="1" customWidth="1"/>
    <col min="9" max="9" width="10.83203125" style="1"/>
    <col min="10" max="10" width="10.83203125" customWidth="1"/>
    <col min="11" max="11" width="11.5" bestFit="1" customWidth="1"/>
    <col min="13" max="13" width="10.83203125" style="1"/>
    <col min="14" max="14" width="10.83203125" customWidth="1"/>
    <col min="15" max="15" width="11.1640625" customWidth="1"/>
    <col min="17" max="17" width="10.83203125" style="1"/>
    <col min="18" max="18" width="10.83203125" customWidth="1"/>
    <col min="19" max="19" width="11.33203125" customWidth="1"/>
    <col min="22" max="22" width="10.83203125" customWidth="1"/>
    <col min="23" max="23" width="11.6640625" customWidth="1"/>
    <col min="26" max="26" width="10.83203125" customWidth="1"/>
    <col min="27" max="27" width="11.83203125" customWidth="1"/>
    <col min="30" max="30" width="10.83203125" customWidth="1"/>
    <col min="31" max="31" width="11.6640625" customWidth="1"/>
    <col min="32" max="32" width="10.83203125" customWidth="1"/>
    <col min="33" max="33" width="10.83203125" style="1"/>
    <col min="34" max="34" width="10.83203125" customWidth="1"/>
    <col min="35" max="35" width="11.83203125" customWidth="1"/>
    <col min="36" max="36" width="10.83203125" customWidth="1"/>
    <col min="38" max="38" width="10.83203125" customWidth="1"/>
    <col min="39" max="39" width="11.6640625" customWidth="1"/>
    <col min="41" max="41" width="10.83203125" style="1"/>
    <col min="42" max="42" width="10.83203125" customWidth="1"/>
    <col min="43" max="43" width="11.6640625" customWidth="1"/>
    <col min="45" max="45" width="10.83203125" style="1"/>
    <col min="46" max="46" width="10.83203125" customWidth="1"/>
    <col min="47" max="47" width="11.6640625" customWidth="1"/>
    <col min="50" max="50" width="10.83203125" customWidth="1"/>
    <col min="51" max="51" width="11.6640625" customWidth="1"/>
    <col min="52" max="52" width="10.83203125" customWidth="1"/>
    <col min="54" max="54" width="10.83203125" customWidth="1"/>
    <col min="55" max="55" width="11.5" customWidth="1"/>
    <col min="56" max="56" width="10.83203125" customWidth="1"/>
  </cols>
  <sheetData>
    <row r="1" spans="1:56" x14ac:dyDescent="0.2">
      <c r="A1" s="2" t="s">
        <v>0</v>
      </c>
      <c r="B1" s="2" t="s">
        <v>159</v>
      </c>
      <c r="C1" s="2" t="s">
        <v>203</v>
      </c>
      <c r="D1" s="2" t="s">
        <v>1</v>
      </c>
      <c r="E1" s="2" t="s">
        <v>2</v>
      </c>
      <c r="F1" s="2" t="s">
        <v>159</v>
      </c>
      <c r="G1" s="2" t="s">
        <v>203</v>
      </c>
      <c r="H1" s="2" t="s">
        <v>1</v>
      </c>
      <c r="I1" s="3" t="s">
        <v>3</v>
      </c>
      <c r="J1" s="2" t="s">
        <v>159</v>
      </c>
      <c r="K1" s="2" t="s">
        <v>203</v>
      </c>
      <c r="L1" s="2" t="s">
        <v>1</v>
      </c>
      <c r="M1" s="3" t="s">
        <v>4</v>
      </c>
      <c r="N1" s="2" t="s">
        <v>159</v>
      </c>
      <c r="O1" s="2" t="s">
        <v>203</v>
      </c>
      <c r="P1" s="2" t="s">
        <v>1</v>
      </c>
      <c r="Q1" s="3" t="s">
        <v>5</v>
      </c>
      <c r="R1" s="2" t="s">
        <v>159</v>
      </c>
      <c r="S1" s="2" t="s">
        <v>203</v>
      </c>
      <c r="T1" s="2" t="s">
        <v>1</v>
      </c>
      <c r="U1" s="2" t="s">
        <v>6</v>
      </c>
      <c r="V1" s="2" t="s">
        <v>159</v>
      </c>
      <c r="W1" s="4" t="s">
        <v>203</v>
      </c>
      <c r="X1" s="2" t="s">
        <v>1</v>
      </c>
      <c r="Y1" s="2" t="s">
        <v>7</v>
      </c>
      <c r="Z1" s="2" t="s">
        <v>159</v>
      </c>
      <c r="AA1" s="4" t="s">
        <v>203</v>
      </c>
      <c r="AB1" s="2" t="s">
        <v>1</v>
      </c>
      <c r="AC1" s="2" t="s">
        <v>8</v>
      </c>
      <c r="AD1" s="2" t="s">
        <v>159</v>
      </c>
      <c r="AE1" s="4" t="s">
        <v>203</v>
      </c>
      <c r="AF1" s="2" t="s">
        <v>1</v>
      </c>
      <c r="AG1" s="3" t="s">
        <v>96</v>
      </c>
      <c r="AH1" s="2" t="s">
        <v>159</v>
      </c>
      <c r="AI1" s="4" t="s">
        <v>203</v>
      </c>
      <c r="AJ1" s="2" t="s">
        <v>1</v>
      </c>
      <c r="AK1" s="2" t="s">
        <v>107</v>
      </c>
      <c r="AL1" s="2" t="s">
        <v>159</v>
      </c>
      <c r="AM1" s="4" t="s">
        <v>203</v>
      </c>
      <c r="AN1" s="2" t="s">
        <v>1</v>
      </c>
      <c r="AO1" s="3" t="s">
        <v>117</v>
      </c>
      <c r="AP1" s="2" t="s">
        <v>159</v>
      </c>
      <c r="AQ1" s="4" t="s">
        <v>203</v>
      </c>
      <c r="AR1" s="2" t="s">
        <v>1</v>
      </c>
      <c r="AS1" s="3" t="s">
        <v>128</v>
      </c>
      <c r="AT1" s="2" t="s">
        <v>159</v>
      </c>
      <c r="AU1" s="4" t="s">
        <v>203</v>
      </c>
      <c r="AV1" s="2" t="s">
        <v>1</v>
      </c>
      <c r="AW1" s="2" t="s">
        <v>138</v>
      </c>
      <c r="AX1" s="2" t="s">
        <v>159</v>
      </c>
      <c r="AY1" s="4" t="s">
        <v>203</v>
      </c>
      <c r="AZ1" s="2" t="s">
        <v>1</v>
      </c>
      <c r="BA1" s="2" t="s">
        <v>149</v>
      </c>
      <c r="BB1" s="2" t="s">
        <v>159</v>
      </c>
      <c r="BC1" s="4" t="s">
        <v>203</v>
      </c>
      <c r="BD1" s="2" t="s">
        <v>1</v>
      </c>
    </row>
    <row r="2" spans="1:56" x14ac:dyDescent="0.2">
      <c r="A2" s="2" t="s">
        <v>9</v>
      </c>
      <c r="B2" s="2" t="s">
        <v>10</v>
      </c>
      <c r="C2" s="2" t="s">
        <v>10</v>
      </c>
      <c r="D2" s="2">
        <f>IF(B2=C2,1,0)</f>
        <v>1</v>
      </c>
      <c r="E2" s="2" t="s">
        <v>11</v>
      </c>
      <c r="F2" s="2" t="s">
        <v>12</v>
      </c>
      <c r="G2" s="2" t="s">
        <v>12</v>
      </c>
      <c r="H2" s="2">
        <f>IF(F2=G2,1,0)</f>
        <v>1</v>
      </c>
      <c r="I2" s="3" t="s">
        <v>13</v>
      </c>
      <c r="J2" s="2" t="s">
        <v>10</v>
      </c>
      <c r="K2" s="2" t="s">
        <v>10</v>
      </c>
      <c r="L2" s="2">
        <f>IF(J2=K2,1,0)</f>
        <v>1</v>
      </c>
      <c r="M2" s="3" t="s">
        <v>14</v>
      </c>
      <c r="N2" s="2" t="s">
        <v>15</v>
      </c>
      <c r="O2" s="2" t="s">
        <v>15</v>
      </c>
      <c r="P2" s="2">
        <f>IF(N2=O2,1,0)</f>
        <v>1</v>
      </c>
      <c r="Q2" s="3" t="s">
        <v>16</v>
      </c>
      <c r="R2" s="2" t="s">
        <v>10</v>
      </c>
      <c r="S2" s="2" t="s">
        <v>10</v>
      </c>
      <c r="T2" s="2">
        <f>IF(R2=S2,1,0)</f>
        <v>1</v>
      </c>
      <c r="U2" s="2" t="s">
        <v>17</v>
      </c>
      <c r="V2" s="2" t="s">
        <v>12</v>
      </c>
      <c r="W2" s="2" t="s">
        <v>12</v>
      </c>
      <c r="X2" s="2">
        <f>IF(V2=W2,1,0)</f>
        <v>1</v>
      </c>
      <c r="Y2" s="2" t="s">
        <v>18</v>
      </c>
      <c r="Z2" s="2" t="s">
        <v>10</v>
      </c>
      <c r="AA2" s="2" t="s">
        <v>10</v>
      </c>
      <c r="AB2" s="2">
        <f>IF(Z2=AA2,1,0)</f>
        <v>1</v>
      </c>
      <c r="AC2" s="2" t="s">
        <v>19</v>
      </c>
      <c r="AD2" s="2" t="s">
        <v>10</v>
      </c>
      <c r="AE2" s="2" t="s">
        <v>10</v>
      </c>
      <c r="AF2" s="2">
        <f>IF(AD2=AE2,1,0)</f>
        <v>1</v>
      </c>
      <c r="AG2" s="3" t="s">
        <v>97</v>
      </c>
      <c r="AH2" s="2" t="s">
        <v>62</v>
      </c>
      <c r="AI2" s="2" t="s">
        <v>62</v>
      </c>
      <c r="AJ2" s="2">
        <f>IF(AH2=AI2,1,0)</f>
        <v>1</v>
      </c>
      <c r="AK2" s="2" t="s">
        <v>108</v>
      </c>
      <c r="AL2" s="2" t="s">
        <v>12</v>
      </c>
      <c r="AM2" s="2" t="s">
        <v>12</v>
      </c>
      <c r="AN2" s="2">
        <f>IF(AL2=AM2,1,0)</f>
        <v>1</v>
      </c>
      <c r="AO2" s="3" t="s">
        <v>118</v>
      </c>
      <c r="AP2" s="2" t="s">
        <v>62</v>
      </c>
      <c r="AQ2" s="2" t="s">
        <v>62</v>
      </c>
      <c r="AR2" s="2">
        <f>IF(AP2=AQ2,1,0)</f>
        <v>1</v>
      </c>
      <c r="AS2" s="3" t="s">
        <v>129</v>
      </c>
      <c r="AT2" s="2" t="s">
        <v>37</v>
      </c>
      <c r="AU2" s="2" t="s">
        <v>37</v>
      </c>
      <c r="AV2" s="2">
        <f>IF(AT2=AU2,1,0)</f>
        <v>1</v>
      </c>
      <c r="AW2" s="2" t="s">
        <v>139</v>
      </c>
      <c r="AX2" s="2" t="s">
        <v>12</v>
      </c>
      <c r="AY2" s="2" t="s">
        <v>12</v>
      </c>
      <c r="AZ2" s="2">
        <f>IF(AX2=AY2,1,0)</f>
        <v>1</v>
      </c>
      <c r="BA2" s="2" t="s">
        <v>150</v>
      </c>
      <c r="BB2" s="2" t="s">
        <v>37</v>
      </c>
      <c r="BC2" s="2" t="s">
        <v>62</v>
      </c>
      <c r="BD2" s="2">
        <f>IF(BB2=BC2,1,0)</f>
        <v>0</v>
      </c>
    </row>
    <row r="3" spans="1:56" x14ac:dyDescent="0.2">
      <c r="A3" s="2" t="s">
        <v>20</v>
      </c>
      <c r="B3" s="2" t="s">
        <v>10</v>
      </c>
      <c r="C3" s="2" t="s">
        <v>10</v>
      </c>
      <c r="D3" s="2">
        <f t="shared" ref="D3:D14" si="0">IF(B3=C3,1,0)</f>
        <v>1</v>
      </c>
      <c r="E3" s="2" t="s">
        <v>21</v>
      </c>
      <c r="F3" s="2" t="s">
        <v>22</v>
      </c>
      <c r="G3" s="2" t="s">
        <v>22</v>
      </c>
      <c r="H3" s="2">
        <f t="shared" ref="H3:H14" si="1">IF(F3=G3,1,0)</f>
        <v>1</v>
      </c>
      <c r="I3" s="3" t="s">
        <v>23</v>
      </c>
      <c r="J3" s="2" t="s">
        <v>10</v>
      </c>
      <c r="K3" s="2" t="s">
        <v>10</v>
      </c>
      <c r="L3" s="2">
        <f t="shared" ref="L3:L14" si="2">IF(J3=K3,1,0)</f>
        <v>1</v>
      </c>
      <c r="M3" s="3" t="s">
        <v>24</v>
      </c>
      <c r="N3" s="2" t="s">
        <v>12</v>
      </c>
      <c r="O3" s="2" t="s">
        <v>12</v>
      </c>
      <c r="P3" s="2">
        <f t="shared" ref="P3:P14" si="3">IF(N3=O3,1,0)</f>
        <v>1</v>
      </c>
      <c r="Q3" s="3" t="s">
        <v>25</v>
      </c>
      <c r="R3" s="2" t="s">
        <v>15</v>
      </c>
      <c r="S3" s="2" t="s">
        <v>15</v>
      </c>
      <c r="T3" s="2">
        <f t="shared" ref="T3:T14" si="4">IF(R3=S3,1,0)</f>
        <v>1</v>
      </c>
      <c r="U3" s="2" t="s">
        <v>26</v>
      </c>
      <c r="V3" s="2" t="s">
        <v>12</v>
      </c>
      <c r="W3" s="2" t="s">
        <v>12</v>
      </c>
      <c r="X3" s="2">
        <f t="shared" ref="X3:X14" si="5">IF(V3=W3,1,0)</f>
        <v>1</v>
      </c>
      <c r="Y3" s="2" t="s">
        <v>27</v>
      </c>
      <c r="Z3" s="2" t="s">
        <v>22</v>
      </c>
      <c r="AA3" s="2" t="s">
        <v>22</v>
      </c>
      <c r="AB3" s="2">
        <f t="shared" ref="AB3:AB14" si="6">IF(Z3=AA3,1,0)</f>
        <v>1</v>
      </c>
      <c r="AC3" s="2" t="s">
        <v>28</v>
      </c>
      <c r="AD3" s="2" t="s">
        <v>12</v>
      </c>
      <c r="AE3" s="2" t="s">
        <v>12</v>
      </c>
      <c r="AF3" s="2">
        <f t="shared" ref="AF3:AF14" si="7">IF(AD3=AE3,1,0)</f>
        <v>1</v>
      </c>
      <c r="AG3" s="3" t="s">
        <v>98</v>
      </c>
      <c r="AH3" s="2" t="s">
        <v>37</v>
      </c>
      <c r="AI3" s="2" t="s">
        <v>37</v>
      </c>
      <c r="AJ3" s="2">
        <f t="shared" ref="AJ3:AJ14" si="8">IF(AH3=AI3,1,0)</f>
        <v>1</v>
      </c>
      <c r="AK3" s="2" t="s">
        <v>109</v>
      </c>
      <c r="AL3" s="2" t="s">
        <v>12</v>
      </c>
      <c r="AM3" s="2" t="s">
        <v>12</v>
      </c>
      <c r="AN3" s="2">
        <f t="shared" ref="AN3:AN14" si="9">IF(AL3=AM3,1,0)</f>
        <v>1</v>
      </c>
      <c r="AO3" s="3" t="s">
        <v>119</v>
      </c>
      <c r="AP3" s="2" t="s">
        <v>10</v>
      </c>
      <c r="AQ3" s="2" t="s">
        <v>10</v>
      </c>
      <c r="AR3" s="2">
        <f t="shared" ref="AR3:AR14" si="10">IF(AP3=AQ3,1,0)</f>
        <v>1</v>
      </c>
      <c r="AS3" s="3" t="s">
        <v>130</v>
      </c>
      <c r="AT3" s="2" t="s">
        <v>12</v>
      </c>
      <c r="AU3" s="2" t="s">
        <v>12</v>
      </c>
      <c r="AV3" s="2">
        <f t="shared" ref="AV3:AV14" si="11">IF(AT3=AU3,1,0)</f>
        <v>1</v>
      </c>
      <c r="AW3" s="2" t="s">
        <v>140</v>
      </c>
      <c r="AX3" s="2" t="s">
        <v>15</v>
      </c>
      <c r="AY3" s="2" t="s">
        <v>15</v>
      </c>
      <c r="AZ3" s="2">
        <f t="shared" ref="AZ3:AZ14" si="12">IF(AX3=AY3,1,0)</f>
        <v>1</v>
      </c>
      <c r="BA3" s="2" t="s">
        <v>151</v>
      </c>
      <c r="BB3" s="2" t="s">
        <v>22</v>
      </c>
      <c r="BC3" s="2" t="s">
        <v>22</v>
      </c>
      <c r="BD3" s="2">
        <f t="shared" ref="BD3:BD14" si="13">IF(BB3=BC3,1,0)</f>
        <v>1</v>
      </c>
    </row>
    <row r="4" spans="1:56" x14ac:dyDescent="0.2">
      <c r="A4" s="2" t="s">
        <v>29</v>
      </c>
      <c r="B4" s="2" t="s">
        <v>10</v>
      </c>
      <c r="C4" s="2" t="s">
        <v>10</v>
      </c>
      <c r="D4" s="2">
        <f t="shared" si="0"/>
        <v>1</v>
      </c>
      <c r="E4" s="2" t="s">
        <v>30</v>
      </c>
      <c r="F4" s="2" t="s">
        <v>12</v>
      </c>
      <c r="G4" s="2" t="s">
        <v>12</v>
      </c>
      <c r="H4" s="2">
        <f t="shared" si="1"/>
        <v>1</v>
      </c>
      <c r="I4" s="3" t="s">
        <v>31</v>
      </c>
      <c r="J4" s="2" t="s">
        <v>12</v>
      </c>
      <c r="K4" s="2" t="s">
        <v>12</v>
      </c>
      <c r="L4" s="2">
        <f t="shared" si="2"/>
        <v>1</v>
      </c>
      <c r="M4" s="3" t="s">
        <v>32</v>
      </c>
      <c r="N4" s="2" t="s">
        <v>12</v>
      </c>
      <c r="O4" s="2" t="s">
        <v>12</v>
      </c>
      <c r="P4" s="2">
        <f t="shared" si="3"/>
        <v>1</v>
      </c>
      <c r="Q4" s="3" t="s">
        <v>33</v>
      </c>
      <c r="R4" s="2" t="s">
        <v>22</v>
      </c>
      <c r="S4" s="2" t="s">
        <v>22</v>
      </c>
      <c r="T4" s="2">
        <f t="shared" si="4"/>
        <v>1</v>
      </c>
      <c r="U4" s="2" t="s">
        <v>34</v>
      </c>
      <c r="V4" s="2" t="s">
        <v>15</v>
      </c>
      <c r="W4" s="2" t="s">
        <v>15</v>
      </c>
      <c r="X4" s="2">
        <f t="shared" si="5"/>
        <v>1</v>
      </c>
      <c r="Y4" s="2" t="s">
        <v>35</v>
      </c>
      <c r="Z4" s="2" t="s">
        <v>12</v>
      </c>
      <c r="AA4" s="2" t="s">
        <v>12</v>
      </c>
      <c r="AB4" s="2">
        <f t="shared" si="6"/>
        <v>1</v>
      </c>
      <c r="AC4" s="2" t="s">
        <v>36</v>
      </c>
      <c r="AD4" s="2" t="s">
        <v>37</v>
      </c>
      <c r="AE4" s="2" t="s">
        <v>37</v>
      </c>
      <c r="AF4" s="2">
        <f t="shared" si="7"/>
        <v>1</v>
      </c>
      <c r="AG4" s="3" t="s">
        <v>99</v>
      </c>
      <c r="AH4" s="2" t="s">
        <v>15</v>
      </c>
      <c r="AI4" s="2" t="s">
        <v>15</v>
      </c>
      <c r="AJ4" s="2">
        <f t="shared" si="8"/>
        <v>1</v>
      </c>
      <c r="AK4" s="2" t="s">
        <v>110</v>
      </c>
      <c r="AL4" s="2" t="s">
        <v>12</v>
      </c>
      <c r="AM4" s="2" t="s">
        <v>12</v>
      </c>
      <c r="AN4" s="2">
        <f t="shared" si="9"/>
        <v>1</v>
      </c>
      <c r="AO4" s="3" t="s">
        <v>120</v>
      </c>
      <c r="AP4" s="2" t="s">
        <v>62</v>
      </c>
      <c r="AQ4" s="2" t="s">
        <v>62</v>
      </c>
      <c r="AR4" s="2">
        <f t="shared" si="10"/>
        <v>1</v>
      </c>
      <c r="AS4" s="3" t="s">
        <v>131</v>
      </c>
      <c r="AT4" s="2" t="s">
        <v>62</v>
      </c>
      <c r="AU4" s="2" t="s">
        <v>62</v>
      </c>
      <c r="AV4" s="2">
        <f t="shared" si="11"/>
        <v>1</v>
      </c>
      <c r="AW4" s="2" t="s">
        <v>141</v>
      </c>
      <c r="AX4" s="2" t="s">
        <v>22</v>
      </c>
      <c r="AY4" s="2" t="s">
        <v>22</v>
      </c>
      <c r="AZ4" s="2">
        <f t="shared" si="12"/>
        <v>1</v>
      </c>
      <c r="BA4" s="2" t="s">
        <v>152</v>
      </c>
      <c r="BB4" s="2" t="s">
        <v>62</v>
      </c>
      <c r="BC4" s="2" t="s">
        <v>62</v>
      </c>
      <c r="BD4" s="2">
        <f t="shared" si="13"/>
        <v>1</v>
      </c>
    </row>
    <row r="5" spans="1:56" x14ac:dyDescent="0.2">
      <c r="A5" s="2" t="s">
        <v>38</v>
      </c>
      <c r="B5" s="2" t="s">
        <v>12</v>
      </c>
      <c r="C5" s="2" t="s">
        <v>12</v>
      </c>
      <c r="D5" s="2">
        <f t="shared" si="0"/>
        <v>1</v>
      </c>
      <c r="E5" s="2" t="s">
        <v>39</v>
      </c>
      <c r="F5" s="2" t="s">
        <v>12</v>
      </c>
      <c r="G5" s="2" t="s">
        <v>12</v>
      </c>
      <c r="H5" s="2">
        <f t="shared" si="1"/>
        <v>1</v>
      </c>
      <c r="I5" s="3" t="s">
        <v>40</v>
      </c>
      <c r="J5" s="2" t="s">
        <v>12</v>
      </c>
      <c r="K5" s="2" t="s">
        <v>12</v>
      </c>
      <c r="L5" s="2">
        <f t="shared" si="2"/>
        <v>1</v>
      </c>
      <c r="M5" s="3" t="s">
        <v>41</v>
      </c>
      <c r="N5" s="2" t="s">
        <v>22</v>
      </c>
      <c r="O5" s="2" t="s">
        <v>22</v>
      </c>
      <c r="P5" s="2">
        <f t="shared" si="3"/>
        <v>1</v>
      </c>
      <c r="Q5" s="3" t="s">
        <v>42</v>
      </c>
      <c r="R5" s="2" t="s">
        <v>10</v>
      </c>
      <c r="S5" s="2" t="s">
        <v>10</v>
      </c>
      <c r="T5" s="2">
        <f t="shared" si="4"/>
        <v>1</v>
      </c>
      <c r="U5" s="2" t="s">
        <v>43</v>
      </c>
      <c r="V5" s="2" t="s">
        <v>10</v>
      </c>
      <c r="W5" s="2" t="s">
        <v>10</v>
      </c>
      <c r="X5" s="2">
        <f t="shared" si="5"/>
        <v>1</v>
      </c>
      <c r="Y5" s="2" t="s">
        <v>44</v>
      </c>
      <c r="Z5" s="2" t="s">
        <v>10</v>
      </c>
      <c r="AA5" s="2" t="s">
        <v>10</v>
      </c>
      <c r="AB5" s="2">
        <f t="shared" si="6"/>
        <v>1</v>
      </c>
      <c r="AC5" s="2" t="s">
        <v>45</v>
      </c>
      <c r="AD5" s="2" t="s">
        <v>10</v>
      </c>
      <c r="AE5" s="2" t="s">
        <v>10</v>
      </c>
      <c r="AF5" s="2">
        <f t="shared" si="7"/>
        <v>1</v>
      </c>
      <c r="AG5" s="3" t="s">
        <v>100</v>
      </c>
      <c r="AH5" s="2" t="s">
        <v>12</v>
      </c>
      <c r="AI5" s="2" t="s">
        <v>12</v>
      </c>
      <c r="AJ5" s="2">
        <f t="shared" si="8"/>
        <v>1</v>
      </c>
      <c r="AK5" s="2" t="s">
        <v>111</v>
      </c>
      <c r="AL5" s="2" t="s">
        <v>10</v>
      </c>
      <c r="AM5" s="2" t="s">
        <v>10</v>
      </c>
      <c r="AN5" s="2">
        <f t="shared" si="9"/>
        <v>1</v>
      </c>
      <c r="AO5" s="3" t="s">
        <v>121</v>
      </c>
      <c r="AP5" s="2" t="s">
        <v>12</v>
      </c>
      <c r="AQ5" s="2" t="s">
        <v>12</v>
      </c>
      <c r="AR5" s="2">
        <f t="shared" si="10"/>
        <v>1</v>
      </c>
      <c r="AS5" s="3" t="s">
        <v>132</v>
      </c>
      <c r="AT5" s="2" t="s">
        <v>10</v>
      </c>
      <c r="AU5" s="2" t="s">
        <v>10</v>
      </c>
      <c r="AV5" s="2">
        <f t="shared" si="11"/>
        <v>1</v>
      </c>
      <c r="AW5" s="2" t="s">
        <v>142</v>
      </c>
      <c r="AX5" s="2" t="s">
        <v>12</v>
      </c>
      <c r="AY5" s="2" t="s">
        <v>12</v>
      </c>
      <c r="AZ5" s="2">
        <f t="shared" si="12"/>
        <v>1</v>
      </c>
      <c r="BA5" s="2" t="s">
        <v>153</v>
      </c>
      <c r="BB5" s="2" t="s">
        <v>12</v>
      </c>
      <c r="BC5" s="2" t="s">
        <v>12</v>
      </c>
      <c r="BD5" s="2">
        <f t="shared" si="13"/>
        <v>1</v>
      </c>
    </row>
    <row r="6" spans="1:56" x14ac:dyDescent="0.2">
      <c r="A6" s="2" t="s">
        <v>46</v>
      </c>
      <c r="B6" s="2" t="s">
        <v>10</v>
      </c>
      <c r="C6" s="2" t="s">
        <v>10</v>
      </c>
      <c r="D6" s="2">
        <f t="shared" si="0"/>
        <v>1</v>
      </c>
      <c r="E6" s="2" t="s">
        <v>47</v>
      </c>
      <c r="F6" s="2" t="s">
        <v>22</v>
      </c>
      <c r="G6" s="2" t="s">
        <v>22</v>
      </c>
      <c r="H6" s="2">
        <f t="shared" si="1"/>
        <v>1</v>
      </c>
      <c r="I6" s="3" t="s">
        <v>48</v>
      </c>
      <c r="J6" s="2" t="s">
        <v>22</v>
      </c>
      <c r="K6" s="2" t="s">
        <v>22</v>
      </c>
      <c r="L6" s="2">
        <f t="shared" si="2"/>
        <v>1</v>
      </c>
      <c r="M6" s="3" t="s">
        <v>49</v>
      </c>
      <c r="N6" s="2" t="s">
        <v>12</v>
      </c>
      <c r="O6" s="2" t="s">
        <v>12</v>
      </c>
      <c r="P6" s="2">
        <f t="shared" si="3"/>
        <v>1</v>
      </c>
      <c r="Q6" s="3" t="s">
        <v>50</v>
      </c>
      <c r="R6" s="2" t="s">
        <v>22</v>
      </c>
      <c r="S6" s="2" t="s">
        <v>22</v>
      </c>
      <c r="T6" s="2">
        <f t="shared" si="4"/>
        <v>1</v>
      </c>
      <c r="U6" s="2" t="s">
        <v>51</v>
      </c>
      <c r="V6" s="2" t="s">
        <v>12</v>
      </c>
      <c r="W6" s="2" t="s">
        <v>12</v>
      </c>
      <c r="X6" s="2">
        <f t="shared" si="5"/>
        <v>1</v>
      </c>
      <c r="Y6" s="2" t="s">
        <v>52</v>
      </c>
      <c r="Z6" s="2" t="s">
        <v>12</v>
      </c>
      <c r="AA6" s="2" t="s">
        <v>12</v>
      </c>
      <c r="AB6" s="2">
        <f t="shared" si="6"/>
        <v>1</v>
      </c>
      <c r="AC6" s="2" t="s">
        <v>53</v>
      </c>
      <c r="AD6" s="2" t="s">
        <v>22</v>
      </c>
      <c r="AE6" s="2" t="s">
        <v>22</v>
      </c>
      <c r="AF6" s="2">
        <f t="shared" si="7"/>
        <v>1</v>
      </c>
      <c r="AG6" s="3" t="s">
        <v>101</v>
      </c>
      <c r="AH6" s="2" t="s">
        <v>10</v>
      </c>
      <c r="AI6" s="2" t="s">
        <v>10</v>
      </c>
      <c r="AJ6" s="2">
        <f t="shared" si="8"/>
        <v>1</v>
      </c>
      <c r="AK6" s="2" t="s">
        <v>112</v>
      </c>
      <c r="AL6" s="2" t="s">
        <v>12</v>
      </c>
      <c r="AM6" s="2" t="s">
        <v>12</v>
      </c>
      <c r="AN6" s="2">
        <f t="shared" si="9"/>
        <v>1</v>
      </c>
      <c r="AO6" s="3" t="s">
        <v>122</v>
      </c>
      <c r="AP6" s="2" t="s">
        <v>10</v>
      </c>
      <c r="AQ6" s="2" t="s">
        <v>10</v>
      </c>
      <c r="AR6" s="2">
        <f t="shared" si="10"/>
        <v>1</v>
      </c>
      <c r="AS6" s="3" t="s">
        <v>133</v>
      </c>
      <c r="AT6" s="2" t="s">
        <v>22</v>
      </c>
      <c r="AU6" s="2" t="s">
        <v>22</v>
      </c>
      <c r="AV6" s="2">
        <f t="shared" si="11"/>
        <v>1</v>
      </c>
      <c r="AW6" s="2" t="s">
        <v>143</v>
      </c>
      <c r="AX6" s="2" t="s">
        <v>12</v>
      </c>
      <c r="AY6" s="2" t="s">
        <v>12</v>
      </c>
      <c r="AZ6" s="2">
        <f t="shared" si="12"/>
        <v>1</v>
      </c>
      <c r="BA6" s="2" t="s">
        <v>154</v>
      </c>
      <c r="BB6" s="2" t="s">
        <v>12</v>
      </c>
      <c r="BC6" s="2" t="s">
        <v>12</v>
      </c>
      <c r="BD6" s="2">
        <f t="shared" si="13"/>
        <v>1</v>
      </c>
    </row>
    <row r="7" spans="1:56" x14ac:dyDescent="0.2">
      <c r="A7" s="2" t="s">
        <v>54</v>
      </c>
      <c r="B7" s="2" t="s">
        <v>22</v>
      </c>
      <c r="C7" s="2" t="s">
        <v>22</v>
      </c>
      <c r="D7" s="2">
        <f t="shared" si="0"/>
        <v>1</v>
      </c>
      <c r="E7" s="2" t="s">
        <v>55</v>
      </c>
      <c r="F7" s="2" t="s">
        <v>10</v>
      </c>
      <c r="G7" s="2" t="s">
        <v>10</v>
      </c>
      <c r="H7" s="2">
        <f t="shared" si="1"/>
        <v>1</v>
      </c>
      <c r="I7" s="3" t="s">
        <v>56</v>
      </c>
      <c r="J7" s="2" t="s">
        <v>22</v>
      </c>
      <c r="K7" s="2" t="s">
        <v>22</v>
      </c>
      <c r="L7" s="2">
        <f t="shared" si="2"/>
        <v>1</v>
      </c>
      <c r="M7" s="3" t="s">
        <v>57</v>
      </c>
      <c r="N7" s="2" t="s">
        <v>15</v>
      </c>
      <c r="O7" s="2" t="s">
        <v>15</v>
      </c>
      <c r="P7" s="2">
        <f t="shared" si="3"/>
        <v>1</v>
      </c>
      <c r="Q7" s="3" t="s">
        <v>58</v>
      </c>
      <c r="R7" s="2" t="s">
        <v>12</v>
      </c>
      <c r="S7" s="2" t="s">
        <v>12</v>
      </c>
      <c r="T7" s="2">
        <f t="shared" si="4"/>
        <v>1</v>
      </c>
      <c r="U7" s="2" t="s">
        <v>59</v>
      </c>
      <c r="V7" s="2" t="s">
        <v>15</v>
      </c>
      <c r="W7" s="2" t="s">
        <v>15</v>
      </c>
      <c r="X7" s="2">
        <f t="shared" si="5"/>
        <v>1</v>
      </c>
      <c r="Y7" s="2" t="s">
        <v>60</v>
      </c>
      <c r="Z7" s="2" t="s">
        <v>12</v>
      </c>
      <c r="AA7" s="2" t="s">
        <v>12</v>
      </c>
      <c r="AB7" s="2">
        <f t="shared" si="6"/>
        <v>1</v>
      </c>
      <c r="AC7" s="2" t="s">
        <v>61</v>
      </c>
      <c r="AD7" s="2" t="s">
        <v>62</v>
      </c>
      <c r="AE7" s="2" t="s">
        <v>62</v>
      </c>
      <c r="AF7" s="2">
        <f t="shared" si="7"/>
        <v>1</v>
      </c>
      <c r="AG7" s="3" t="s">
        <v>102</v>
      </c>
      <c r="AH7" s="2" t="s">
        <v>22</v>
      </c>
      <c r="AI7" s="2" t="s">
        <v>22</v>
      </c>
      <c r="AJ7" s="2">
        <f t="shared" si="8"/>
        <v>1</v>
      </c>
      <c r="AK7" s="2" t="s">
        <v>70</v>
      </c>
      <c r="AL7" s="2" t="s">
        <v>22</v>
      </c>
      <c r="AM7" s="2" t="s">
        <v>15</v>
      </c>
      <c r="AN7" s="2">
        <f t="shared" si="9"/>
        <v>0</v>
      </c>
      <c r="AO7" s="3" t="s">
        <v>123</v>
      </c>
      <c r="AP7" s="2" t="s">
        <v>22</v>
      </c>
      <c r="AQ7" s="2" t="s">
        <v>22</v>
      </c>
      <c r="AR7" s="2">
        <f t="shared" si="10"/>
        <v>1</v>
      </c>
      <c r="AS7" s="3" t="s">
        <v>134</v>
      </c>
      <c r="AT7" s="2" t="s">
        <v>37</v>
      </c>
      <c r="AU7" s="2" t="s">
        <v>37</v>
      </c>
      <c r="AV7" s="2">
        <f t="shared" si="11"/>
        <v>1</v>
      </c>
      <c r="AW7" s="2" t="s">
        <v>144</v>
      </c>
      <c r="AX7" s="2" t="s">
        <v>22</v>
      </c>
      <c r="AY7" s="2" t="s">
        <v>22</v>
      </c>
      <c r="AZ7" s="2">
        <f t="shared" si="12"/>
        <v>1</v>
      </c>
      <c r="BA7" s="2" t="s">
        <v>155</v>
      </c>
      <c r="BB7" s="2" t="s">
        <v>10</v>
      </c>
      <c r="BC7" s="2" t="s">
        <v>10</v>
      </c>
      <c r="BD7" s="2">
        <f t="shared" si="13"/>
        <v>1</v>
      </c>
    </row>
    <row r="8" spans="1:56" x14ac:dyDescent="0.2">
      <c r="A8" s="2" t="s">
        <v>63</v>
      </c>
      <c r="B8" s="2" t="s">
        <v>10</v>
      </c>
      <c r="C8" s="2" t="s">
        <v>10</v>
      </c>
      <c r="D8" s="2">
        <f t="shared" si="0"/>
        <v>1</v>
      </c>
      <c r="E8" s="2" t="s">
        <v>64</v>
      </c>
      <c r="F8" s="2" t="s">
        <v>12</v>
      </c>
      <c r="G8" s="2" t="s">
        <v>12</v>
      </c>
      <c r="H8" s="2">
        <f t="shared" si="1"/>
        <v>1</v>
      </c>
      <c r="I8" s="3" t="s">
        <v>65</v>
      </c>
      <c r="J8" s="2" t="s">
        <v>22</v>
      </c>
      <c r="K8" s="2" t="s">
        <v>22</v>
      </c>
      <c r="L8" s="2">
        <f t="shared" si="2"/>
        <v>1</v>
      </c>
      <c r="M8" s="3" t="s">
        <v>66</v>
      </c>
      <c r="N8" s="2" t="s">
        <v>15</v>
      </c>
      <c r="O8" s="2" t="s">
        <v>15</v>
      </c>
      <c r="P8" s="2">
        <f t="shared" si="3"/>
        <v>1</v>
      </c>
      <c r="Q8" s="3" t="s">
        <v>67</v>
      </c>
      <c r="R8" s="2" t="s">
        <v>15</v>
      </c>
      <c r="S8" s="2" t="s">
        <v>15</v>
      </c>
      <c r="T8" s="2">
        <f t="shared" si="4"/>
        <v>1</v>
      </c>
      <c r="U8" s="2" t="s">
        <v>68</v>
      </c>
      <c r="V8" s="2" t="s">
        <v>12</v>
      </c>
      <c r="W8" s="2" t="s">
        <v>12</v>
      </c>
      <c r="X8" s="2">
        <f t="shared" si="5"/>
        <v>1</v>
      </c>
      <c r="Y8" s="2" t="s">
        <v>69</v>
      </c>
      <c r="Z8" s="2" t="s">
        <v>12</v>
      </c>
      <c r="AA8" s="2" t="s">
        <v>12</v>
      </c>
      <c r="AB8" s="2">
        <f t="shared" si="6"/>
        <v>1</v>
      </c>
      <c r="AC8" s="2" t="s">
        <v>70</v>
      </c>
      <c r="AD8" s="2" t="s">
        <v>12</v>
      </c>
      <c r="AE8" s="2" t="s">
        <v>10</v>
      </c>
      <c r="AF8" s="2">
        <f t="shared" si="7"/>
        <v>0</v>
      </c>
      <c r="AG8" s="3" t="s">
        <v>103</v>
      </c>
      <c r="AH8" s="2" t="s">
        <v>62</v>
      </c>
      <c r="AI8" s="2" t="s">
        <v>62</v>
      </c>
      <c r="AJ8" s="2">
        <f t="shared" si="8"/>
        <v>1</v>
      </c>
      <c r="AK8" s="2" t="s">
        <v>113</v>
      </c>
      <c r="AL8" s="2" t="s">
        <v>22</v>
      </c>
      <c r="AM8" s="2" t="s">
        <v>22</v>
      </c>
      <c r="AN8" s="2">
        <f t="shared" si="9"/>
        <v>1</v>
      </c>
      <c r="AO8" s="3" t="s">
        <v>124</v>
      </c>
      <c r="AP8" s="2" t="s">
        <v>15</v>
      </c>
      <c r="AQ8" s="2" t="s">
        <v>15</v>
      </c>
      <c r="AR8" s="2">
        <f t="shared" si="10"/>
        <v>1</v>
      </c>
      <c r="AS8" s="3" t="s">
        <v>70</v>
      </c>
      <c r="AT8" s="2" t="s">
        <v>12</v>
      </c>
      <c r="AU8" s="2" t="s">
        <v>12</v>
      </c>
      <c r="AV8" s="2">
        <f t="shared" si="11"/>
        <v>1</v>
      </c>
      <c r="AW8" s="2" t="s">
        <v>145</v>
      </c>
      <c r="AX8" s="2" t="s">
        <v>22</v>
      </c>
      <c r="AY8" s="2" t="s">
        <v>22</v>
      </c>
      <c r="AZ8" s="2">
        <f t="shared" si="12"/>
        <v>1</v>
      </c>
      <c r="BA8" s="2" t="s">
        <v>70</v>
      </c>
      <c r="BB8" s="2" t="s">
        <v>12</v>
      </c>
      <c r="BC8" s="2" t="s">
        <v>12</v>
      </c>
      <c r="BD8" s="2">
        <f t="shared" si="13"/>
        <v>1</v>
      </c>
    </row>
    <row r="9" spans="1:56" x14ac:dyDescent="0.2">
      <c r="A9" s="2" t="s">
        <v>71</v>
      </c>
      <c r="B9" s="2" t="s">
        <v>10</v>
      </c>
      <c r="C9" s="2" t="s">
        <v>10</v>
      </c>
      <c r="D9" s="2">
        <f t="shared" si="0"/>
        <v>1</v>
      </c>
      <c r="E9" s="2" t="s">
        <v>72</v>
      </c>
      <c r="F9" s="2" t="s">
        <v>10</v>
      </c>
      <c r="G9" s="2" t="s">
        <v>10</v>
      </c>
      <c r="H9" s="2">
        <f t="shared" si="1"/>
        <v>1</v>
      </c>
      <c r="I9" s="3" t="s">
        <v>73</v>
      </c>
      <c r="J9" s="2" t="s">
        <v>15</v>
      </c>
      <c r="K9" s="2" t="s">
        <v>15</v>
      </c>
      <c r="L9" s="2">
        <f t="shared" si="2"/>
        <v>1</v>
      </c>
      <c r="M9" s="3" t="s">
        <v>74</v>
      </c>
      <c r="N9" s="2" t="s">
        <v>22</v>
      </c>
      <c r="O9" s="2" t="s">
        <v>22</v>
      </c>
      <c r="P9" s="2">
        <f t="shared" si="3"/>
        <v>1</v>
      </c>
      <c r="Q9" s="3" t="s">
        <v>75</v>
      </c>
      <c r="R9" s="2" t="s">
        <v>15</v>
      </c>
      <c r="S9" s="2" t="s">
        <v>15</v>
      </c>
      <c r="T9" s="2">
        <f t="shared" si="4"/>
        <v>1</v>
      </c>
      <c r="U9" s="2" t="s">
        <v>76</v>
      </c>
      <c r="V9" s="2" t="s">
        <v>77</v>
      </c>
      <c r="W9" s="2" t="s">
        <v>77</v>
      </c>
      <c r="X9" s="2">
        <f t="shared" si="5"/>
        <v>1</v>
      </c>
      <c r="Y9" s="2" t="s">
        <v>78</v>
      </c>
      <c r="Z9" s="2" t="s">
        <v>10</v>
      </c>
      <c r="AA9" s="2" t="s">
        <v>10</v>
      </c>
      <c r="AB9" s="2">
        <f t="shared" si="6"/>
        <v>1</v>
      </c>
      <c r="AC9" s="2" t="s">
        <v>79</v>
      </c>
      <c r="AD9" s="2" t="s">
        <v>22</v>
      </c>
      <c r="AE9" s="2" t="s">
        <v>22</v>
      </c>
      <c r="AF9" s="2">
        <f t="shared" si="7"/>
        <v>1</v>
      </c>
      <c r="AG9" s="3" t="s">
        <v>104</v>
      </c>
      <c r="AH9" s="2" t="s">
        <v>10</v>
      </c>
      <c r="AI9" s="2" t="s">
        <v>10</v>
      </c>
      <c r="AJ9" s="2">
        <f t="shared" si="8"/>
        <v>1</v>
      </c>
      <c r="AK9" s="2" t="s">
        <v>114</v>
      </c>
      <c r="AL9" s="2" t="s">
        <v>22</v>
      </c>
      <c r="AM9" s="2" t="s">
        <v>22</v>
      </c>
      <c r="AN9" s="2">
        <f t="shared" si="9"/>
        <v>1</v>
      </c>
      <c r="AO9" s="3" t="s">
        <v>125</v>
      </c>
      <c r="AP9" s="2" t="s">
        <v>15</v>
      </c>
      <c r="AQ9" s="2" t="s">
        <v>15</v>
      </c>
      <c r="AR9" s="2">
        <f t="shared" si="10"/>
        <v>1</v>
      </c>
      <c r="AS9" s="3" t="s">
        <v>135</v>
      </c>
      <c r="AT9" s="2" t="s">
        <v>22</v>
      </c>
      <c r="AU9" s="2" t="s">
        <v>22</v>
      </c>
      <c r="AV9" s="2">
        <f t="shared" si="11"/>
        <v>1</v>
      </c>
      <c r="AW9" s="2" t="s">
        <v>146</v>
      </c>
      <c r="AX9" s="2" t="s">
        <v>62</v>
      </c>
      <c r="AY9" s="2" t="s">
        <v>62</v>
      </c>
      <c r="AZ9" s="2">
        <f t="shared" si="12"/>
        <v>1</v>
      </c>
      <c r="BA9" s="2" t="s">
        <v>156</v>
      </c>
      <c r="BB9" s="2" t="s">
        <v>15</v>
      </c>
      <c r="BC9" s="2" t="s">
        <v>15</v>
      </c>
      <c r="BD9" s="2">
        <f t="shared" si="13"/>
        <v>1</v>
      </c>
    </row>
    <row r="10" spans="1:56" x14ac:dyDescent="0.2">
      <c r="A10" s="2" t="s">
        <v>80</v>
      </c>
      <c r="B10" s="2" t="s">
        <v>12</v>
      </c>
      <c r="C10" s="2" t="s">
        <v>12</v>
      </c>
      <c r="D10" s="2">
        <f t="shared" si="0"/>
        <v>1</v>
      </c>
      <c r="E10" s="2" t="s">
        <v>81</v>
      </c>
      <c r="F10" s="2" t="s">
        <v>15</v>
      </c>
      <c r="G10" s="2" t="s">
        <v>15</v>
      </c>
      <c r="H10" s="2">
        <f t="shared" si="1"/>
        <v>1</v>
      </c>
      <c r="I10" s="3" t="s">
        <v>82</v>
      </c>
      <c r="J10" s="2" t="s">
        <v>15</v>
      </c>
      <c r="K10" s="2" t="s">
        <v>15</v>
      </c>
      <c r="L10" s="2">
        <f t="shared" si="2"/>
        <v>1</v>
      </c>
      <c r="M10" s="3" t="s">
        <v>83</v>
      </c>
      <c r="N10" s="2" t="s">
        <v>10</v>
      </c>
      <c r="O10" s="2" t="s">
        <v>12</v>
      </c>
      <c r="P10" s="2">
        <f t="shared" si="3"/>
        <v>0</v>
      </c>
      <c r="Q10" s="3" t="s">
        <v>84</v>
      </c>
      <c r="R10" s="2" t="s">
        <v>22</v>
      </c>
      <c r="S10" s="2" t="s">
        <v>22</v>
      </c>
      <c r="T10" s="2">
        <f t="shared" si="4"/>
        <v>1</v>
      </c>
      <c r="U10" s="2" t="s">
        <v>85</v>
      </c>
      <c r="V10" s="2" t="s">
        <v>22</v>
      </c>
      <c r="W10" s="2" t="s">
        <v>12</v>
      </c>
      <c r="X10" s="2">
        <f t="shared" si="5"/>
        <v>0</v>
      </c>
      <c r="Y10" s="2" t="s">
        <v>86</v>
      </c>
      <c r="Z10" s="2" t="s">
        <v>10</v>
      </c>
      <c r="AA10" s="2" t="s">
        <v>10</v>
      </c>
      <c r="AB10" s="2">
        <f t="shared" si="6"/>
        <v>1</v>
      </c>
      <c r="AC10" s="2" t="s">
        <v>87</v>
      </c>
      <c r="AD10" s="2" t="s">
        <v>15</v>
      </c>
      <c r="AE10" s="2" t="s">
        <v>15</v>
      </c>
      <c r="AF10" s="2">
        <f t="shared" si="7"/>
        <v>1</v>
      </c>
      <c r="AG10" s="3" t="s">
        <v>105</v>
      </c>
      <c r="AH10" s="2" t="s">
        <v>62</v>
      </c>
      <c r="AI10" s="2" t="s">
        <v>10</v>
      </c>
      <c r="AJ10" s="2">
        <f t="shared" si="8"/>
        <v>0</v>
      </c>
      <c r="AK10" s="2" t="s">
        <v>115</v>
      </c>
      <c r="AL10" s="2" t="s">
        <v>15</v>
      </c>
      <c r="AM10" s="2" t="s">
        <v>15</v>
      </c>
      <c r="AN10" s="2">
        <f t="shared" si="9"/>
        <v>1</v>
      </c>
      <c r="AO10" s="3" t="s">
        <v>126</v>
      </c>
      <c r="AP10" s="2" t="s">
        <v>62</v>
      </c>
      <c r="AQ10" s="2" t="s">
        <v>62</v>
      </c>
      <c r="AR10" s="2">
        <f t="shared" si="10"/>
        <v>1</v>
      </c>
      <c r="AS10" s="3" t="s">
        <v>136</v>
      </c>
      <c r="AT10" s="2" t="s">
        <v>15</v>
      </c>
      <c r="AU10" s="2" t="s">
        <v>15</v>
      </c>
      <c r="AV10" s="2">
        <f t="shared" si="11"/>
        <v>1</v>
      </c>
      <c r="AW10" s="2" t="s">
        <v>147</v>
      </c>
      <c r="AX10" s="2" t="s">
        <v>10</v>
      </c>
      <c r="AY10" s="2" t="s">
        <v>10</v>
      </c>
      <c r="AZ10" s="2">
        <f t="shared" si="12"/>
        <v>1</v>
      </c>
      <c r="BA10" s="2" t="s">
        <v>157</v>
      </c>
      <c r="BB10" s="2" t="s">
        <v>37</v>
      </c>
      <c r="BC10" s="2" t="s">
        <v>37</v>
      </c>
      <c r="BD10" s="2">
        <f t="shared" si="13"/>
        <v>1</v>
      </c>
    </row>
    <row r="11" spans="1:56" x14ac:dyDescent="0.2">
      <c r="A11" s="2" t="s">
        <v>88</v>
      </c>
      <c r="B11" s="2" t="s">
        <v>10</v>
      </c>
      <c r="C11" s="2" t="s">
        <v>10</v>
      </c>
      <c r="D11" s="2">
        <f t="shared" si="0"/>
        <v>1</v>
      </c>
      <c r="E11" s="2" t="s">
        <v>89</v>
      </c>
      <c r="F11" s="2" t="s">
        <v>12</v>
      </c>
      <c r="G11" s="2" t="s">
        <v>12</v>
      </c>
      <c r="H11" s="2">
        <f t="shared" si="1"/>
        <v>1</v>
      </c>
      <c r="I11" s="3" t="s">
        <v>90</v>
      </c>
      <c r="J11" s="2" t="s">
        <v>12</v>
      </c>
      <c r="K11" s="2" t="s">
        <v>12</v>
      </c>
      <c r="L11" s="2">
        <f t="shared" si="2"/>
        <v>1</v>
      </c>
      <c r="M11" s="3" t="s">
        <v>91</v>
      </c>
      <c r="N11" s="2" t="s">
        <v>10</v>
      </c>
      <c r="O11" s="2" t="s">
        <v>10</v>
      </c>
      <c r="P11" s="2">
        <f t="shared" si="3"/>
        <v>1</v>
      </c>
      <c r="Q11" s="3" t="s">
        <v>92</v>
      </c>
      <c r="R11" s="2" t="s">
        <v>15</v>
      </c>
      <c r="S11" s="2" t="s">
        <v>15</v>
      </c>
      <c r="T11" s="2">
        <f t="shared" si="4"/>
        <v>1</v>
      </c>
      <c r="U11" s="2" t="s">
        <v>93</v>
      </c>
      <c r="V11" s="2" t="s">
        <v>15</v>
      </c>
      <c r="W11" s="2" t="s">
        <v>15</v>
      </c>
      <c r="X11" s="2">
        <f t="shared" si="5"/>
        <v>1</v>
      </c>
      <c r="Y11" s="2" t="s">
        <v>94</v>
      </c>
      <c r="Z11" s="2" t="s">
        <v>10</v>
      </c>
      <c r="AA11" s="2" t="s">
        <v>12</v>
      </c>
      <c r="AB11" s="2">
        <f t="shared" si="6"/>
        <v>0</v>
      </c>
      <c r="AC11" s="2" t="s">
        <v>95</v>
      </c>
      <c r="AD11" s="2" t="s">
        <v>10</v>
      </c>
      <c r="AE11" s="2" t="s">
        <v>10</v>
      </c>
      <c r="AF11" s="2">
        <f t="shared" si="7"/>
        <v>1</v>
      </c>
      <c r="AG11" s="3" t="s">
        <v>106</v>
      </c>
      <c r="AH11" s="2" t="s">
        <v>10</v>
      </c>
      <c r="AI11" s="2" t="s">
        <v>10</v>
      </c>
      <c r="AJ11" s="2">
        <f t="shared" si="8"/>
        <v>1</v>
      </c>
      <c r="AK11" s="2" t="s">
        <v>116</v>
      </c>
      <c r="AL11" s="2" t="s">
        <v>10</v>
      </c>
      <c r="AM11" s="2" t="s">
        <v>10</v>
      </c>
      <c r="AN11" s="2">
        <f t="shared" si="9"/>
        <v>1</v>
      </c>
      <c r="AO11" s="3" t="s">
        <v>127</v>
      </c>
      <c r="AP11" s="2" t="s">
        <v>12</v>
      </c>
      <c r="AQ11" s="2" t="s">
        <v>15</v>
      </c>
      <c r="AR11" s="2">
        <f t="shared" si="10"/>
        <v>0</v>
      </c>
      <c r="AS11" s="3" t="s">
        <v>137</v>
      </c>
      <c r="AT11" s="2" t="s">
        <v>12</v>
      </c>
      <c r="AU11" s="2" t="s">
        <v>12</v>
      </c>
      <c r="AV11" s="2">
        <f t="shared" si="11"/>
        <v>1</v>
      </c>
      <c r="AW11" s="2" t="s">
        <v>148</v>
      </c>
      <c r="AX11" s="2" t="s">
        <v>15</v>
      </c>
      <c r="AY11" s="2" t="s">
        <v>15</v>
      </c>
      <c r="AZ11" s="2">
        <f t="shared" si="12"/>
        <v>1</v>
      </c>
      <c r="BA11" s="2" t="s">
        <v>158</v>
      </c>
      <c r="BB11" s="2" t="s">
        <v>10</v>
      </c>
      <c r="BC11" s="2" t="s">
        <v>10</v>
      </c>
      <c r="BD11" s="2">
        <f t="shared" si="13"/>
        <v>1</v>
      </c>
    </row>
    <row r="12" spans="1:56" x14ac:dyDescent="0.2">
      <c r="A12" s="4" t="s">
        <v>160</v>
      </c>
      <c r="B12" s="4" t="s">
        <v>12</v>
      </c>
      <c r="C12" s="2" t="s">
        <v>12</v>
      </c>
      <c r="D12" s="2">
        <f>IF(B12=C12,1,0)</f>
        <v>1</v>
      </c>
      <c r="E12" s="2" t="s">
        <v>163</v>
      </c>
      <c r="F12" s="2" t="s">
        <v>22</v>
      </c>
      <c r="G12" s="2" t="s">
        <v>22</v>
      </c>
      <c r="H12" s="2">
        <f>IF(F12=G12,1,0)</f>
        <v>1</v>
      </c>
      <c r="I12" s="2" t="s">
        <v>166</v>
      </c>
      <c r="J12" s="2" t="s">
        <v>10</v>
      </c>
      <c r="K12" s="2" t="s">
        <v>10</v>
      </c>
      <c r="L12" s="2">
        <f>IF(J12=K12,1,0)</f>
        <v>1</v>
      </c>
      <c r="M12" s="3" t="s">
        <v>169</v>
      </c>
      <c r="N12" s="2" t="s">
        <v>15</v>
      </c>
      <c r="O12" s="2" t="s">
        <v>15</v>
      </c>
      <c r="P12" s="2">
        <f>IF(N12=O12,1,0)</f>
        <v>1</v>
      </c>
      <c r="Q12" s="2" t="s">
        <v>172</v>
      </c>
      <c r="R12" s="2" t="s">
        <v>10</v>
      </c>
      <c r="S12" s="2" t="s">
        <v>10</v>
      </c>
      <c r="T12" s="2">
        <f>IF(R12=S12,1,0)</f>
        <v>1</v>
      </c>
      <c r="U12" s="2" t="s">
        <v>175</v>
      </c>
      <c r="V12" s="2" t="s">
        <v>22</v>
      </c>
      <c r="W12" s="2" t="s">
        <v>22</v>
      </c>
      <c r="X12" s="2">
        <f>IF(V12=W12,1,0)</f>
        <v>1</v>
      </c>
      <c r="Y12" s="2" t="s">
        <v>178</v>
      </c>
      <c r="Z12" s="2" t="s">
        <v>10</v>
      </c>
      <c r="AA12" s="2" t="s">
        <v>10</v>
      </c>
      <c r="AB12" s="2">
        <f>IF(Z12=AA12,1,0)</f>
        <v>1</v>
      </c>
      <c r="AC12" s="2" t="s">
        <v>181</v>
      </c>
      <c r="AD12" s="2" t="s">
        <v>12</v>
      </c>
      <c r="AE12" s="2" t="s">
        <v>12</v>
      </c>
      <c r="AF12" s="2">
        <f>IF(AD12=AE12,1,0)</f>
        <v>1</v>
      </c>
      <c r="AG12" s="2" t="s">
        <v>184</v>
      </c>
      <c r="AH12" s="2" t="s">
        <v>10</v>
      </c>
      <c r="AI12" s="2" t="s">
        <v>10</v>
      </c>
      <c r="AJ12" s="2">
        <f>IF(AH12=AI12,1,0)</f>
        <v>1</v>
      </c>
      <c r="AK12" s="2" t="s">
        <v>187</v>
      </c>
      <c r="AL12" s="2" t="s">
        <v>12</v>
      </c>
      <c r="AM12" s="2" t="s">
        <v>12</v>
      </c>
      <c r="AN12" s="2">
        <f>IF(AL12=AM12,1,0)</f>
        <v>1</v>
      </c>
      <c r="AO12" s="2" t="s">
        <v>190</v>
      </c>
      <c r="AP12" s="2" t="s">
        <v>10</v>
      </c>
      <c r="AQ12" s="2" t="s">
        <v>10</v>
      </c>
      <c r="AR12" s="2">
        <f>IF(AP12=AQ12,1,0)</f>
        <v>1</v>
      </c>
      <c r="AS12" s="2" t="s">
        <v>193</v>
      </c>
      <c r="AT12" s="2" t="s">
        <v>12</v>
      </c>
      <c r="AU12" s="2" t="s">
        <v>12</v>
      </c>
      <c r="AV12" s="2">
        <f>IF(AT12=AU12,1,0)</f>
        <v>1</v>
      </c>
      <c r="AW12" s="2" t="s">
        <v>196</v>
      </c>
      <c r="AX12" s="2" t="s">
        <v>12</v>
      </c>
      <c r="AY12" s="2" t="s">
        <v>12</v>
      </c>
      <c r="AZ12" s="2">
        <f>IF(AX12=AY12,1,0)</f>
        <v>1</v>
      </c>
      <c r="BA12" s="2" t="s">
        <v>199</v>
      </c>
      <c r="BB12" s="2" t="s">
        <v>12</v>
      </c>
      <c r="BC12" s="2" t="s">
        <v>12</v>
      </c>
      <c r="BD12" s="2">
        <f>IF(BB12=BC12,1,0)</f>
        <v>1</v>
      </c>
    </row>
    <row r="13" spans="1:56" x14ac:dyDescent="0.2">
      <c r="A13" s="4" t="s">
        <v>161</v>
      </c>
      <c r="B13" s="4" t="s">
        <v>12</v>
      </c>
      <c r="C13" s="2" t="s">
        <v>12</v>
      </c>
      <c r="D13" s="2">
        <f t="shared" si="0"/>
        <v>1</v>
      </c>
      <c r="E13" s="2" t="s">
        <v>164</v>
      </c>
      <c r="F13" s="2" t="s">
        <v>12</v>
      </c>
      <c r="G13" s="2" t="s">
        <v>12</v>
      </c>
      <c r="H13" s="2">
        <f t="shared" si="1"/>
        <v>1</v>
      </c>
      <c r="I13" s="2" t="s">
        <v>167</v>
      </c>
      <c r="J13" s="2" t="s">
        <v>12</v>
      </c>
      <c r="K13" s="2" t="s">
        <v>12</v>
      </c>
      <c r="L13" s="2">
        <f t="shared" si="2"/>
        <v>1</v>
      </c>
      <c r="M13" s="3" t="s">
        <v>170</v>
      </c>
      <c r="N13" s="2" t="s">
        <v>12</v>
      </c>
      <c r="O13" s="2" t="s">
        <v>12</v>
      </c>
      <c r="P13" s="2">
        <f t="shared" si="3"/>
        <v>1</v>
      </c>
      <c r="Q13" s="2" t="s">
        <v>173</v>
      </c>
      <c r="R13" s="2" t="s">
        <v>22</v>
      </c>
      <c r="S13" s="2" t="s">
        <v>22</v>
      </c>
      <c r="T13" s="2">
        <f t="shared" si="4"/>
        <v>1</v>
      </c>
      <c r="U13" s="2" t="s">
        <v>176</v>
      </c>
      <c r="V13" s="2" t="s">
        <v>22</v>
      </c>
      <c r="W13" s="2" t="s">
        <v>22</v>
      </c>
      <c r="X13" s="2">
        <f t="shared" si="5"/>
        <v>1</v>
      </c>
      <c r="Y13" s="2" t="s">
        <v>179</v>
      </c>
      <c r="Z13" s="2" t="s">
        <v>12</v>
      </c>
      <c r="AA13" s="2" t="s">
        <v>12</v>
      </c>
      <c r="AB13" s="2">
        <f t="shared" si="6"/>
        <v>1</v>
      </c>
      <c r="AC13" s="2" t="s">
        <v>182</v>
      </c>
      <c r="AD13" s="2" t="s">
        <v>37</v>
      </c>
      <c r="AE13" s="2" t="s">
        <v>37</v>
      </c>
      <c r="AF13" s="2">
        <f t="shared" si="7"/>
        <v>1</v>
      </c>
      <c r="AG13" s="2" t="s">
        <v>185</v>
      </c>
      <c r="AH13" s="2" t="s">
        <v>12</v>
      </c>
      <c r="AI13" s="2" t="s">
        <v>12</v>
      </c>
      <c r="AJ13" s="2">
        <f t="shared" si="8"/>
        <v>1</v>
      </c>
      <c r="AK13" s="2" t="s">
        <v>188</v>
      </c>
      <c r="AL13" s="2" t="s">
        <v>12</v>
      </c>
      <c r="AM13" s="2" t="s">
        <v>12</v>
      </c>
      <c r="AN13" s="2">
        <f t="shared" si="9"/>
        <v>1</v>
      </c>
      <c r="AO13" s="2" t="s">
        <v>191</v>
      </c>
      <c r="AP13" s="2" t="s">
        <v>62</v>
      </c>
      <c r="AQ13" s="2" t="s">
        <v>62</v>
      </c>
      <c r="AR13" s="2">
        <f t="shared" si="10"/>
        <v>1</v>
      </c>
      <c r="AS13" s="2" t="s">
        <v>194</v>
      </c>
      <c r="AT13" s="2" t="s">
        <v>12</v>
      </c>
      <c r="AU13" s="2" t="s">
        <v>12</v>
      </c>
      <c r="AV13" s="2">
        <f t="shared" si="11"/>
        <v>1</v>
      </c>
      <c r="AW13" s="2" t="s">
        <v>197</v>
      </c>
      <c r="AX13" s="2" t="s">
        <v>22</v>
      </c>
      <c r="AY13" s="2" t="s">
        <v>22</v>
      </c>
      <c r="AZ13" s="2">
        <f t="shared" si="12"/>
        <v>1</v>
      </c>
      <c r="BA13" s="2" t="s">
        <v>200</v>
      </c>
      <c r="BB13" s="2" t="s">
        <v>12</v>
      </c>
      <c r="BC13" s="2" t="s">
        <v>12</v>
      </c>
      <c r="BD13" s="2">
        <f t="shared" si="13"/>
        <v>1</v>
      </c>
    </row>
    <row r="14" spans="1:56" x14ac:dyDescent="0.2">
      <c r="A14" s="4" t="s">
        <v>162</v>
      </c>
      <c r="B14" s="4" t="s">
        <v>10</v>
      </c>
      <c r="C14" s="2" t="s">
        <v>10</v>
      </c>
      <c r="D14" s="2">
        <f t="shared" si="0"/>
        <v>1</v>
      </c>
      <c r="E14" s="2" t="s">
        <v>165</v>
      </c>
      <c r="F14" s="2" t="s">
        <v>12</v>
      </c>
      <c r="G14" s="2" t="s">
        <v>12</v>
      </c>
      <c r="H14" s="2">
        <f t="shared" si="1"/>
        <v>1</v>
      </c>
      <c r="I14" s="2" t="s">
        <v>168</v>
      </c>
      <c r="J14" s="2" t="s">
        <v>10</v>
      </c>
      <c r="K14" s="2" t="s">
        <v>10</v>
      </c>
      <c r="L14" s="2">
        <f t="shared" si="2"/>
        <v>1</v>
      </c>
      <c r="M14" s="3" t="s">
        <v>171</v>
      </c>
      <c r="N14" s="2" t="s">
        <v>10</v>
      </c>
      <c r="O14" s="2" t="s">
        <v>10</v>
      </c>
      <c r="P14" s="2">
        <f t="shared" si="3"/>
        <v>1</v>
      </c>
      <c r="Q14" s="2" t="s">
        <v>174</v>
      </c>
      <c r="R14" s="2" t="s">
        <v>12</v>
      </c>
      <c r="S14" s="2" t="s">
        <v>12</v>
      </c>
      <c r="T14" s="2">
        <f t="shared" si="4"/>
        <v>1</v>
      </c>
      <c r="U14" s="2" t="s">
        <v>177</v>
      </c>
      <c r="V14" s="2" t="s">
        <v>12</v>
      </c>
      <c r="W14" s="2" t="s">
        <v>12</v>
      </c>
      <c r="X14" s="2">
        <f t="shared" si="5"/>
        <v>1</v>
      </c>
      <c r="Y14" s="2" t="s">
        <v>180</v>
      </c>
      <c r="Z14" s="2" t="s">
        <v>10</v>
      </c>
      <c r="AA14" s="2" t="s">
        <v>10</v>
      </c>
      <c r="AB14" s="2">
        <f t="shared" si="6"/>
        <v>1</v>
      </c>
      <c r="AC14" s="2" t="s">
        <v>183</v>
      </c>
      <c r="AD14" s="2" t="s">
        <v>22</v>
      </c>
      <c r="AE14" s="2" t="s">
        <v>22</v>
      </c>
      <c r="AF14" s="2">
        <f t="shared" si="7"/>
        <v>1</v>
      </c>
      <c r="AG14" s="2" t="s">
        <v>186</v>
      </c>
      <c r="AH14" s="2" t="s">
        <v>12</v>
      </c>
      <c r="AI14" s="2" t="s">
        <v>12</v>
      </c>
      <c r="AJ14" s="2">
        <f t="shared" si="8"/>
        <v>1</v>
      </c>
      <c r="AK14" s="2" t="s">
        <v>189</v>
      </c>
      <c r="AL14" s="2" t="s">
        <v>15</v>
      </c>
      <c r="AM14" s="2" t="s">
        <v>15</v>
      </c>
      <c r="AN14" s="2">
        <f t="shared" si="9"/>
        <v>1</v>
      </c>
      <c r="AO14" s="2" t="s">
        <v>192</v>
      </c>
      <c r="AP14" s="2" t="s">
        <v>15</v>
      </c>
      <c r="AQ14" s="2" t="s">
        <v>15</v>
      </c>
      <c r="AR14" s="2">
        <f t="shared" si="10"/>
        <v>1</v>
      </c>
      <c r="AS14" s="2" t="s">
        <v>195</v>
      </c>
      <c r="AT14" s="2" t="s">
        <v>22</v>
      </c>
      <c r="AU14" s="2" t="s">
        <v>22</v>
      </c>
      <c r="AV14" s="2">
        <f t="shared" si="11"/>
        <v>1</v>
      </c>
      <c r="AW14" s="2" t="s">
        <v>198</v>
      </c>
      <c r="AX14" s="2" t="s">
        <v>10</v>
      </c>
      <c r="AY14" s="2" t="s">
        <v>10</v>
      </c>
      <c r="AZ14" s="2">
        <f t="shared" si="12"/>
        <v>1</v>
      </c>
      <c r="BA14" s="2" t="s">
        <v>201</v>
      </c>
      <c r="BB14" s="2" t="s">
        <v>12</v>
      </c>
      <c r="BC14" s="2" t="s">
        <v>12</v>
      </c>
      <c r="BD14" s="2">
        <f t="shared" si="13"/>
        <v>1</v>
      </c>
    </row>
    <row r="15" spans="1:56" x14ac:dyDescent="0.2">
      <c r="A15" s="4" t="s">
        <v>202</v>
      </c>
      <c r="B15" s="2"/>
      <c r="C15" s="2"/>
      <c r="D15" s="2">
        <f>SUM(D2:D14)/13</f>
        <v>1</v>
      </c>
      <c r="E15" s="2"/>
      <c r="F15" s="2"/>
      <c r="G15" s="2"/>
      <c r="H15" s="2">
        <f>SUM(H2:H14)/13</f>
        <v>1</v>
      </c>
      <c r="I15" s="3"/>
      <c r="J15" s="2"/>
      <c r="K15" s="2"/>
      <c r="L15" s="2">
        <f>SUM(L2:L14)/13</f>
        <v>1</v>
      </c>
      <c r="M15" s="3"/>
      <c r="N15" s="2"/>
      <c r="O15" s="2"/>
      <c r="P15" s="2">
        <f>SUM(P2:P14)/13</f>
        <v>0.92307692307692313</v>
      </c>
      <c r="Q15" s="3"/>
      <c r="R15" s="2"/>
      <c r="S15" s="2"/>
      <c r="T15" s="2">
        <f>SUM(T2:T14)/13</f>
        <v>1</v>
      </c>
      <c r="U15" s="2"/>
      <c r="V15" s="2"/>
      <c r="W15" s="2"/>
      <c r="X15" s="2">
        <f>SUM(X2:X14)/13</f>
        <v>0.92307692307692313</v>
      </c>
      <c r="Y15" s="2"/>
      <c r="Z15" s="2"/>
      <c r="AA15" s="2"/>
      <c r="AB15" s="2">
        <f>SUM(AB2:AB14)/13</f>
        <v>0.92307692307692313</v>
      </c>
      <c r="AC15" s="2"/>
      <c r="AD15" s="2"/>
      <c r="AE15" s="2"/>
      <c r="AF15" s="2">
        <f>SUM(AF2:AF14)/13</f>
        <v>0.92307692307692313</v>
      </c>
      <c r="AG15" s="3"/>
      <c r="AH15" s="2"/>
      <c r="AI15" s="2"/>
      <c r="AJ15" s="2">
        <f>SUM(AJ2:AJ14)/13</f>
        <v>0.92307692307692313</v>
      </c>
      <c r="AK15" s="2"/>
      <c r="AL15" s="2"/>
      <c r="AM15" s="2"/>
      <c r="AN15" s="2">
        <f>SUM(AN2:AN14)/13</f>
        <v>0.92307692307692313</v>
      </c>
      <c r="AO15" s="3"/>
      <c r="AP15" s="2"/>
      <c r="AQ15" s="2"/>
      <c r="AR15" s="2">
        <f>SUM(AR2:AR14)/13</f>
        <v>0.92307692307692313</v>
      </c>
      <c r="AS15" s="3"/>
      <c r="AT15" s="2"/>
      <c r="AU15" s="2"/>
      <c r="AV15" s="2">
        <f>SUM(AV2:AV14)/13</f>
        <v>1</v>
      </c>
      <c r="AW15" s="2"/>
      <c r="AX15" s="2"/>
      <c r="AY15" s="2"/>
      <c r="AZ15" s="2">
        <f>SUM(AZ2:AZ14)/13</f>
        <v>1</v>
      </c>
      <c r="BA15" s="2"/>
      <c r="BB15" s="2"/>
      <c r="BC15" s="2"/>
      <c r="BD15" s="2">
        <f>SUM(BD2:BD14)/13</f>
        <v>0.92307692307692313</v>
      </c>
    </row>
    <row r="17" spans="1:1" x14ac:dyDescent="0.2">
      <c r="A17" s="5"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2026-03-30T16:26:29Z</dcterms:created>
  <dcterms:modified xsi:type="dcterms:W3CDTF">2026-03-30T17:53:02Z</dcterms:modified>
</cp:coreProperties>
</file>